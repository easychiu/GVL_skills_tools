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選單" sheetId="1" r:id="rId4"/>
    <sheet state="visible" name="炮船範例" sheetId="2" r:id="rId5"/>
    <sheet state="visible" name="資料源(請謹慎編輯)" sheetId="3" r:id="rId6"/>
  </sheets>
  <definedNames>
    <definedName name="頭盔名冊">'資料源(請謹慎編輯)'!$B$81:$B$99</definedName>
    <definedName name="主武名冊">'資料源(請謹慎編輯)'!$B$41:$B$59</definedName>
    <definedName name="手套名冊">'資料源(請謹慎編輯)'!$B$121:$B$139</definedName>
    <definedName name="職業名冊">'資料源(請謹慎編輯)'!$B$161:$B$182</definedName>
    <definedName name="寶物名冊">'資料源(請謹慎編輯)'!$B$21:$B$39</definedName>
    <definedName name="飾品名冊">'資料源(請謹慎編輯)'!$B$2:$B$19</definedName>
    <definedName name="角色上限">'資料源(請謹慎編輯)'!$B$173:$B$181</definedName>
    <definedName name="衣服名冊">'資料源(請謹慎編輯)'!$B$101:$B$119</definedName>
    <definedName name="鞋子名冊">'資料源(請謹慎編輯)'!$B$141:$B$159</definedName>
    <definedName name="副武名冊">'資料源(請謹慎編輯)'!$B$61:$B$79</definedName>
  </definedNames>
  <calcPr/>
  <extLst>
    <ext uri="GoogleSheetsCustomDataVersion2">
      <go:sheetsCustomData xmlns:go="http://customooxmlschemas.google.com/" r:id="rId7" roundtripDataChecksum="oDrnoE2SfqkiwKJ4TW5e768RhH0dGMb8tIZN/Ugeqho="/>
    </ext>
  </extLst>
</workbook>
</file>

<file path=xl/sharedStrings.xml><?xml version="1.0" encoding="utf-8"?>
<sst xmlns="http://schemas.openxmlformats.org/spreadsheetml/2006/main" count="506" uniqueCount="106">
  <si>
    <t>位置</t>
  </si>
  <si>
    <t>裝備名稱</t>
  </si>
  <si>
    <t>炮術</t>
  </si>
  <si>
    <t>水平射擊</t>
  </si>
  <si>
    <t>速射</t>
  </si>
  <si>
    <t>貫穿</t>
  </si>
  <si>
    <t>彈道學</t>
  </si>
  <si>
    <t>水雷</t>
  </si>
  <si>
    <t>齊射</t>
  </si>
  <si>
    <t>修理</t>
  </si>
  <si>
    <t>掠奪</t>
  </si>
  <si>
    <t>迴避</t>
  </si>
  <si>
    <t>應急</t>
  </si>
  <si>
    <t>手術</t>
  </si>
  <si>
    <t>划船</t>
  </si>
  <si>
    <t>劍術</t>
  </si>
  <si>
    <t>突擊</t>
  </si>
  <si>
    <t>戰術</t>
  </si>
  <si>
    <t>射擊</t>
  </si>
  <si>
    <t>防禦</t>
  </si>
  <si>
    <t>識破</t>
  </si>
  <si>
    <t>猛擊</t>
  </si>
  <si>
    <t>迅捷</t>
  </si>
  <si>
    <t>接舷</t>
  </si>
  <si>
    <t>操舵</t>
  </si>
  <si>
    <t>搜尋</t>
  </si>
  <si>
    <t>飾品</t>
  </si>
  <si>
    <t>丁卡族戒指(質變)</t>
  </si>
  <si>
    <t>寶物</t>
  </si>
  <si>
    <t>軍神的護身符</t>
  </si>
  <si>
    <t>主武</t>
  </si>
  <si>
    <t>西班牙將軍權杖</t>
  </si>
  <si>
    <t>副武</t>
  </si>
  <si>
    <t>波斯單刃短劍</t>
  </si>
  <si>
    <t>頭盔</t>
  </si>
  <si>
    <t>阿爾維達的頭盔</t>
  </si>
  <si>
    <t>衣服</t>
  </si>
  <si>
    <t>海軍上將的胸甲</t>
  </si>
  <si>
    <t>手套</t>
  </si>
  <si>
    <t>司令官手套(質變)</t>
  </si>
  <si>
    <t>鞋子</t>
  </si>
  <si>
    <t>提督長筒靴(質變)</t>
  </si>
  <si>
    <t>職業</t>
  </si>
  <si>
    <t>大提督/海軍陸戰隊</t>
  </si>
  <si>
    <t>角色上限</t>
  </si>
  <si>
    <t>航海士</t>
  </si>
  <si>
    <t>加總</t>
  </si>
  <si>
    <t>製作者：鎮魂歌</t>
  </si>
  <si>
    <t>丁卡族戒指</t>
  </si>
  <si>
    <t>馬木魯克的弓</t>
  </si>
  <si>
    <t>司令官手套</t>
  </si>
  <si>
    <t>提督長筒靴</t>
  </si>
  <si>
    <t>漆黑手鐲</t>
  </si>
  <si>
    <t>漆黑手鐲(質變)</t>
  </si>
  <si>
    <t>土庫曼手鐲</t>
  </si>
  <si>
    <t>尼布龍根戒指(唯一)</t>
  </si>
  <si>
    <t>納加族的人面項鍊</t>
  </si>
  <si>
    <t>海盜女王的項鍊</t>
  </si>
  <si>
    <t>芒薩族的項鍊</t>
  </si>
  <si>
    <t>伊西絲的護符</t>
  </si>
  <si>
    <t>炮術家的手記</t>
  </si>
  <si>
    <t>黃金心臟</t>
  </si>
  <si>
    <t>猛將的印章</t>
  </si>
  <si>
    <t>九柱神之書</t>
  </si>
  <si>
    <t>海盜的成規</t>
  </si>
  <si>
    <t>溫庫隆庫魯雕像</t>
  </si>
  <si>
    <t>艦隊指揮官之劍</t>
  </si>
  <si>
    <t>神魔槍</t>
  </si>
  <si>
    <t>海民之劍(質變)</t>
  </si>
  <si>
    <t>土耳其禁衛軍長槍</t>
  </si>
  <si>
    <t>聖劍</t>
  </si>
  <si>
    <t>精兵用土耳其彎刀</t>
  </si>
  <si>
    <t>大口徑短槍</t>
  </si>
  <si>
    <t>土耳其禁衛軍小刀</t>
  </si>
  <si>
    <t>奪魂劍</t>
  </si>
  <si>
    <t>漆黑的短劍</t>
  </si>
  <si>
    <t>楊蘇木染無簷帽</t>
  </si>
  <si>
    <t>黑太子頭盔</t>
  </si>
  <si>
    <t>章魚帽</t>
  </si>
  <si>
    <t>海盜獵手帽</t>
  </si>
  <si>
    <t>海盜王冠</t>
  </si>
  <si>
    <t>提督緊身衣</t>
  </si>
  <si>
    <t>提督緊身衣(質變)</t>
  </si>
  <si>
    <t>巴夏/寵姬</t>
  </si>
  <si>
    <t>海盜獵手大衣</t>
  </si>
  <si>
    <t>黑太子盔甲</t>
  </si>
  <si>
    <t>威廉/獅心</t>
  </si>
  <si>
    <t>亞歷山大帝鎧甲(質變)</t>
  </si>
  <si>
    <t>亞歷山大帝鎧甲</t>
  </si>
  <si>
    <t>將官守護手套</t>
  </si>
  <si>
    <t>將官守護手套(質變)</t>
  </si>
  <si>
    <t>守護手套</t>
  </si>
  <si>
    <t>領袖手套</t>
  </si>
  <si>
    <t>將官長筒靴</t>
  </si>
  <si>
    <t>海盜獵手鞋</t>
  </si>
  <si>
    <t>海盜皮靴</t>
  </si>
  <si>
    <t>職業名稱</t>
  </si>
  <si>
    <t>大提督</t>
  </si>
  <si>
    <t>高階指揮官</t>
  </si>
  <si>
    <t>大海盜</t>
  </si>
  <si>
    <t>海軍陸戰隊</t>
  </si>
  <si>
    <t>遊俠</t>
  </si>
  <si>
    <t>打撈者</t>
  </si>
  <si>
    <t>大海盜/海軍陸戰隊</t>
  </si>
  <si>
    <t>高階指揮/海軍陸戰</t>
  </si>
  <si>
    <t>大海盜/藥劑師/遊俠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</si>
</sst>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;\-0;"/>
  </numFmts>
  <fonts count="7">
    <font>
      <sz val="11.0"/>
      <color theme="1"/>
      <name val="Calibri"/>
      <scheme val="minor"/>
    </font>
    <font>
      <b/>
      <sz val="14.0"/>
      <color theme="0"/>
      <name val="Microsoft JhengHei"/>
    </font>
    <font>
      <sz val="14.0"/>
      <color theme="1"/>
      <name val="Microsoft JhengHei"/>
    </font>
    <font>
      <b/>
      <sz val="14.0"/>
      <color theme="1"/>
      <name val="Microsoft JhengHei"/>
    </font>
    <font/>
    <font>
      <sz val="11.0"/>
      <color theme="1"/>
      <name val="Microsoft JhengHei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6DCE4"/>
        <bgColor rgb="FFD6DCE4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22">
    <border/>
    <border>
      <left/>
      <right/>
      <top/>
      <bottom/>
    </border>
    <border>
      <left/>
      <right style="thin">
        <color rgb="FF000000"/>
      </right>
      <top/>
      <bottom/>
    </border>
    <border>
      <left/>
      <right/>
      <top style="medium">
        <color rgb="FF000000"/>
      </top>
      <bottom/>
    </border>
    <border>
      <left/>
      <right style="thin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top style="thin">
        <color rgb="FF000000"/>
      </top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1" numFmtId="0" xfId="0" applyAlignment="1" applyBorder="1" applyFont="1">
      <alignment horizontal="center" vertical="top"/>
    </xf>
    <xf borderId="3" fillId="2" fontId="1" numFmtId="0" xfId="0" applyAlignment="1" applyBorder="1" applyFont="1">
      <alignment horizontal="center"/>
    </xf>
    <xf borderId="4" fillId="2" fontId="1" numFmtId="0" xfId="0" applyAlignment="1" applyBorder="1" applyFont="1">
      <alignment horizontal="center"/>
    </xf>
    <xf borderId="0" fillId="0" fontId="2" numFmtId="0" xfId="0" applyFont="1"/>
    <xf borderId="5" fillId="3" fontId="3" numFmtId="0" xfId="0" applyAlignment="1" applyBorder="1" applyFill="1" applyFont="1">
      <alignment horizontal="center" readingOrder="0" vertical="top"/>
    </xf>
    <xf borderId="1" fillId="4" fontId="2" numFmtId="164" xfId="0" applyBorder="1" applyFill="1" applyFont="1" applyNumberFormat="1"/>
    <xf borderId="0" fillId="0" fontId="2" numFmtId="164" xfId="0" applyFont="1" applyNumberFormat="1"/>
    <xf borderId="6" fillId="4" fontId="2" numFmtId="164" xfId="0" applyBorder="1" applyFont="1" applyNumberFormat="1"/>
    <xf borderId="7" fillId="0" fontId="2" numFmtId="164" xfId="0" applyBorder="1" applyFont="1" applyNumberFormat="1"/>
    <xf borderId="8" fillId="0" fontId="2" numFmtId="164" xfId="0" applyBorder="1" applyFont="1" applyNumberFormat="1"/>
    <xf borderId="9" fillId="3" fontId="3" numFmtId="0" xfId="0" applyAlignment="1" applyBorder="1" applyFont="1">
      <alignment horizontal="center" readingOrder="0" vertical="top"/>
    </xf>
    <xf borderId="10" fillId="4" fontId="2" numFmtId="164" xfId="0" applyBorder="1" applyFont="1" applyNumberFormat="1"/>
    <xf borderId="11" fillId="0" fontId="2" numFmtId="164" xfId="0" applyBorder="1" applyFont="1" applyNumberFormat="1"/>
    <xf borderId="12" fillId="4" fontId="2" numFmtId="164" xfId="0" applyBorder="1" applyFont="1" applyNumberFormat="1"/>
    <xf borderId="13" fillId="0" fontId="2" numFmtId="164" xfId="0" applyBorder="1" applyFont="1" applyNumberFormat="1"/>
    <xf borderId="14" fillId="0" fontId="2" numFmtId="0" xfId="0" applyBorder="1" applyFont="1"/>
    <xf borderId="15" fillId="3" fontId="3" numFmtId="0" xfId="0" applyAlignment="1" applyBorder="1" applyFont="1">
      <alignment horizontal="center" readingOrder="0" vertical="top"/>
    </xf>
    <xf borderId="16" fillId="0" fontId="2" numFmtId="164" xfId="0" applyBorder="1" applyFont="1" applyNumberFormat="1"/>
    <xf borderId="7" fillId="0" fontId="3" numFmtId="0" xfId="0" applyAlignment="1" applyBorder="1" applyFont="1">
      <alignment horizontal="center"/>
    </xf>
    <xf borderId="14" fillId="0" fontId="4" numFmtId="0" xfId="0" applyBorder="1" applyFont="1"/>
    <xf borderId="8" fillId="0" fontId="4" numFmtId="0" xfId="0" applyBorder="1" applyFont="1"/>
    <xf borderId="12" fillId="4" fontId="2" numFmtId="0" xfId="0" applyBorder="1" applyFont="1"/>
    <xf borderId="1" fillId="4" fontId="2" numFmtId="0" xfId="0" applyBorder="1" applyFont="1"/>
    <xf borderId="6" fillId="4" fontId="2" numFmtId="0" xfId="0" applyBorder="1" applyFont="1"/>
    <xf borderId="16" fillId="0" fontId="2" numFmtId="0" xfId="0" applyBorder="1" applyFont="1"/>
    <xf borderId="17" fillId="5" fontId="3" numFmtId="0" xfId="0" applyAlignment="1" applyBorder="1" applyFill="1" applyFont="1">
      <alignment horizontal="center"/>
    </xf>
    <xf borderId="18" fillId="0" fontId="4" numFmtId="0" xfId="0" applyBorder="1" applyFont="1"/>
    <xf borderId="19" fillId="5" fontId="3" numFmtId="164" xfId="0" applyBorder="1" applyFont="1" applyNumberFormat="1"/>
    <xf borderId="0" fillId="0" fontId="2" numFmtId="0" xfId="0" applyAlignment="1" applyFont="1">
      <alignment horizontal="center" vertical="top"/>
    </xf>
    <xf borderId="20" fillId="6" fontId="3" numFmtId="0" xfId="0" applyAlignment="1" applyBorder="1" applyFill="1" applyFont="1">
      <alignment horizontal="center"/>
    </xf>
    <xf borderId="21" fillId="0" fontId="4" numFmtId="0" xfId="0" applyBorder="1" applyFont="1"/>
    <xf borderId="0" fillId="0" fontId="3" numFmtId="0" xfId="0" applyAlignment="1" applyFont="1">
      <alignment horizontal="center"/>
    </xf>
    <xf borderId="5" fillId="3" fontId="3" numFmtId="0" xfId="0" applyAlignment="1" applyBorder="1" applyFont="1">
      <alignment horizontal="center" vertical="top"/>
    </xf>
    <xf borderId="9" fillId="3" fontId="3" numFmtId="0" xfId="0" applyAlignment="1" applyBorder="1" applyFont="1">
      <alignment horizontal="center" vertical="top"/>
    </xf>
    <xf borderId="15" fillId="3" fontId="3" numFmtId="0" xfId="0" applyAlignment="1" applyBorder="1" applyFont="1">
      <alignment horizontal="center" vertical="top"/>
    </xf>
    <xf borderId="0" fillId="0" fontId="5" numFmtId="0" xfId="0" applyFont="1"/>
    <xf borderId="0" fillId="0" fontId="6" numFmtId="0" xfId="0" applyFont="1"/>
  </cellXfs>
  <cellStyles count="1">
    <cellStyle xfId="0" name="Normal" builtinId="0"/>
  </cellStyles>
  <dxfs count="1">
    <dxf>
      <font>
        <b/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2.71"/>
    <col customWidth="1" min="2" max="2" width="27.29"/>
    <col customWidth="1" min="3" max="26" width="13.14"/>
  </cols>
  <sheetData>
    <row r="1" ht="18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4" t="s">
        <v>22</v>
      </c>
      <c r="X1" s="4" t="s">
        <v>23</v>
      </c>
      <c r="Y1" s="4" t="s">
        <v>24</v>
      </c>
      <c r="Z1" s="4" t="s">
        <v>25</v>
      </c>
    </row>
    <row r="2" ht="18.75" customHeight="1">
      <c r="A2" s="5" t="s">
        <v>26</v>
      </c>
      <c r="B2" s="6" t="s">
        <v>27</v>
      </c>
      <c r="C2" s="7" t="str">
        <f t="array" ref="C2">XLOOKUP($B2, '資料源(請謹慎編輯)'!$B:$B, '資料源(請謹慎編輯)'!C:C, 0)</f>
        <v/>
      </c>
      <c r="D2" s="8">
        <f t="array" ref="D2">XLOOKUP($B2, '資料源(請謹慎編輯)'!$B:$B, '資料源(請謹慎編輯)'!D:D, 0)</f>
        <v>2</v>
      </c>
      <c r="E2" s="7">
        <f t="array" ref="E2">XLOOKUP($B2, '資料源(請謹慎編輯)'!$B:$B, '資料源(請謹慎編輯)'!E:E, 0)</f>
        <v>1</v>
      </c>
      <c r="F2" s="8" t="str">
        <f t="array" ref="F2">XLOOKUP($B2, '資料源(請謹慎編輯)'!$B:$B, '資料源(請謹慎編輯)'!F:F, 0)</f>
        <v/>
      </c>
      <c r="G2" s="7" t="str">
        <f t="array" ref="G2">XLOOKUP($B2, '資料源(請謹慎編輯)'!$B:$B, '資料源(請謹慎編輯)'!G:G, 0)</f>
        <v/>
      </c>
      <c r="H2" s="8">
        <f t="array" ref="H2">XLOOKUP($B2, '資料源(請謹慎編輯)'!$B:$B, '資料源(請謹慎編輯)'!H:H, 0)</f>
        <v>1</v>
      </c>
      <c r="I2" s="7" t="str">
        <f t="array" ref="I2">XLOOKUP($B2, '資料源(請謹慎編輯)'!$B:$B, '資料源(請謹慎編輯)'!I:I, 0)</f>
        <v/>
      </c>
      <c r="J2" s="8" t="str">
        <f t="array" ref="J2">XLOOKUP($B2, '資料源(請謹慎編輯)'!$B:$B, '資料源(請謹慎編輯)'!J:J, 0)</f>
        <v/>
      </c>
      <c r="K2" s="7" t="str">
        <f t="array" ref="K2">XLOOKUP($B2, '資料源(請謹慎編輯)'!$B:$B, '資料源(請謹慎編輯)'!K:K, 0)</f>
        <v/>
      </c>
      <c r="L2" s="8" t="str">
        <f t="array" ref="L2">XLOOKUP($B2, '資料源(請謹慎編輯)'!$B:$B, '資料源(請謹慎編輯)'!L:L, 0)</f>
        <v/>
      </c>
      <c r="M2" s="9" t="str">
        <f t="array" ref="M2">XLOOKUP($B2, '資料源(請謹慎編輯)'!$B:$B, '資料源(請謹慎編輯)'!M:M, 0)</f>
        <v/>
      </c>
      <c r="N2" s="10" t="str">
        <f t="array" ref="N2">XLOOKUP($B2, '資料源(請謹慎編輯)'!$B:$B, '資料源(請謹慎編輯)'!N:N, 0)</f>
        <v/>
      </c>
      <c r="O2" s="9" t="str">
        <f t="array" ref="O2">XLOOKUP($B2, '資料源(請謹慎編輯)'!$B:$B, '資料源(請謹慎編輯)'!O:O, 0)</f>
        <v/>
      </c>
      <c r="P2" s="10" t="str">
        <f t="array" ref="P2">XLOOKUP($B2, '資料源(請謹慎編輯)'!$B:$B, '資料源(請謹慎編輯)'!P:P, 0)</f>
        <v/>
      </c>
      <c r="Q2" s="9" t="str">
        <f t="array" ref="Q2">XLOOKUP($B2, '資料源(請謹慎編輯)'!$B:$B, '資料源(請謹慎編輯)'!Q:Q, 0)</f>
        <v/>
      </c>
      <c r="R2" s="10" t="str">
        <f t="array" ref="R2">XLOOKUP($B2, '資料源(請謹慎編輯)'!$B:$B, '資料源(請謹慎編輯)'!R:R, 0)</f>
        <v/>
      </c>
      <c r="S2" s="9" t="str">
        <f t="array" ref="S2">XLOOKUP($B2, '資料源(請謹慎編輯)'!$B:$B, '資料源(請謹慎編輯)'!S:S, 0)</f>
        <v/>
      </c>
      <c r="T2" s="10" t="str">
        <f t="array" ref="T2">XLOOKUP($B2, '資料源(請謹慎編輯)'!$B:$B, '資料源(請謹慎編輯)'!T:T, 0)</f>
        <v/>
      </c>
      <c r="U2" s="9" t="str">
        <f t="array" ref="U2">XLOOKUP($B2, '資料源(請謹慎編輯)'!$B:$B, '資料源(請謹慎編輯)'!U:U, 0)</f>
        <v/>
      </c>
      <c r="V2" s="10" t="str">
        <f t="array" ref="V2">XLOOKUP($B2, '資料源(請謹慎編輯)'!$B:$B, '資料源(請謹慎編輯)'!V:V, 0)</f>
        <v/>
      </c>
      <c r="W2" s="9" t="str">
        <f t="array" ref="W2">XLOOKUP($B2, '資料源(請謹慎編輯)'!$B:$B, '資料源(請謹慎編輯)'!W:W, 0)</f>
        <v/>
      </c>
      <c r="X2" s="10" t="str">
        <f t="array" ref="X2">XLOOKUP($B2, '資料源(請謹慎編輯)'!$B:$B, '資料源(請謹慎編輯)'!X:X, 0)</f>
        <v/>
      </c>
      <c r="Y2" s="9" t="str">
        <f t="array" ref="Y2">XLOOKUP($B2, '資料源(請謹慎編輯)'!$B:$B, '資料源(請謹慎編輯)'!Y:Y, 0)</f>
        <v/>
      </c>
      <c r="Z2" s="11" t="str">
        <f t="array" ref="Z2">XLOOKUP($B2, '資料源(請謹慎編輯)'!$B:$B, '資料源(請謹慎編輯)'!Z:Z, 0)</f>
        <v/>
      </c>
    </row>
    <row r="3" ht="18.75" customHeight="1">
      <c r="A3" s="5" t="s">
        <v>26</v>
      </c>
      <c r="B3" s="12" t="s">
        <v>27</v>
      </c>
      <c r="C3" s="13" t="str">
        <f t="array" ref="C3">XLOOKUP($B3, '資料源(請謹慎編輯)'!$B:$B, '資料源(請謹慎編輯)'!C:C, 0)</f>
        <v/>
      </c>
      <c r="D3" s="14">
        <f t="array" ref="D3">XLOOKUP($B3, '資料源(請謹慎編輯)'!$B:$B, '資料源(請謹慎編輯)'!D:D, 0)</f>
        <v>2</v>
      </c>
      <c r="E3" s="13">
        <f t="array" ref="E3">XLOOKUP($B3, '資料源(請謹慎編輯)'!$B:$B, '資料源(請謹慎編輯)'!E:E, 0)</f>
        <v>1</v>
      </c>
      <c r="F3" s="14" t="str">
        <f t="array" ref="F3">XLOOKUP($B3, '資料源(請謹慎編輯)'!$B:$B, '資料源(請謹慎編輯)'!F:F, 0)</f>
        <v/>
      </c>
      <c r="G3" s="13" t="str">
        <f t="array" ref="G3">XLOOKUP($B3, '資料源(請謹慎編輯)'!$B:$B, '資料源(請謹慎編輯)'!G:G, 0)</f>
        <v/>
      </c>
      <c r="H3" s="14">
        <f t="array" ref="H3">XLOOKUP($B3, '資料源(請謹慎編輯)'!$B:$B, '資料源(請謹慎編輯)'!H:H, 0)</f>
        <v>1</v>
      </c>
      <c r="I3" s="13" t="str">
        <f t="array" ref="I3">XLOOKUP($B3, '資料源(請謹慎編輯)'!$B:$B, '資料源(請謹慎編輯)'!I:I, 0)</f>
        <v/>
      </c>
      <c r="J3" s="14" t="str">
        <f t="array" ref="J3">XLOOKUP($B3, '資料源(請謹慎編輯)'!$B:$B, '資料源(請謹慎編輯)'!J:J, 0)</f>
        <v/>
      </c>
      <c r="K3" s="13" t="str">
        <f t="array" ref="K3">XLOOKUP($B3, '資料源(請謹慎編輯)'!$B:$B, '資料源(請謹慎編輯)'!K:K, 0)</f>
        <v/>
      </c>
      <c r="L3" s="14" t="str">
        <f t="array" ref="L3">XLOOKUP($B3, '資料源(請謹慎編輯)'!$B:$B, '資料源(請謹慎編輯)'!L:L, 0)</f>
        <v/>
      </c>
      <c r="M3" s="13" t="str">
        <f t="array" ref="M3">XLOOKUP($B3, '資料源(請謹慎編輯)'!$B:$B, '資料源(請謹慎編輯)'!M:M, 0)</f>
        <v/>
      </c>
      <c r="N3" s="14" t="str">
        <f t="array" ref="N3">XLOOKUP($B3, '資料源(請謹慎編輯)'!$B:$B, '資料源(請謹慎編輯)'!N:N, 0)</f>
        <v/>
      </c>
      <c r="O3" s="15" t="str">
        <f t="array" ref="O3">XLOOKUP($B3, '資料源(請謹慎編輯)'!$B:$B, '資料源(請謹慎編輯)'!O:O, 0)</f>
        <v/>
      </c>
      <c r="P3" s="10" t="str">
        <f t="array" ref="P3">XLOOKUP($B3, '資料源(請謹慎編輯)'!$B:$B, '資料源(請謹慎編輯)'!P:P, 0)</f>
        <v/>
      </c>
      <c r="Q3" s="9" t="str">
        <f t="array" ref="Q3">XLOOKUP($B3, '資料源(請謹慎編輯)'!$B:$B, '資料源(請謹慎編輯)'!Q:Q, 0)</f>
        <v/>
      </c>
      <c r="R3" s="10" t="str">
        <f t="array" ref="R3">XLOOKUP($B3, '資料源(請謹慎編輯)'!$B:$B, '資料源(請謹慎編輯)'!R:R, 0)</f>
        <v/>
      </c>
      <c r="S3" s="9" t="str">
        <f t="array" ref="S3">XLOOKUP($B3, '資料源(請謹慎編輯)'!$B:$B, '資料源(請謹慎編輯)'!S:S, 0)</f>
        <v/>
      </c>
      <c r="T3" s="10" t="str">
        <f t="array" ref="T3">XLOOKUP($B3, '資料源(請謹慎編輯)'!$B:$B, '資料源(請謹慎編輯)'!T:T, 0)</f>
        <v/>
      </c>
      <c r="U3" s="9" t="str">
        <f t="array" ref="U3">XLOOKUP($B3, '資料源(請謹慎編輯)'!$B:$B, '資料源(請謹慎編輯)'!U:U, 0)</f>
        <v/>
      </c>
      <c r="V3" s="10" t="str">
        <f t="array" ref="V3">XLOOKUP($B3, '資料源(請謹慎編輯)'!$B:$B, '資料源(請謹慎編輯)'!V:V, 0)</f>
        <v/>
      </c>
      <c r="W3" s="9" t="str">
        <f t="array" ref="W3">XLOOKUP($B3, '資料源(請謹慎編輯)'!$B:$B, '資料源(請謹慎編輯)'!W:W, 0)</f>
        <v/>
      </c>
      <c r="X3" s="10" t="str">
        <f t="array" ref="X3">XLOOKUP($B3, '資料源(請謹慎編輯)'!$B:$B, '資料源(請謹慎編輯)'!X:X, 0)</f>
        <v/>
      </c>
      <c r="Y3" s="9" t="str">
        <f t="array" ref="Y3">XLOOKUP($B3, '資料源(請謹慎編輯)'!$B:$B, '資料源(請謹慎編輯)'!Y:Y, 0)</f>
        <v/>
      </c>
      <c r="Z3" s="11" t="str">
        <f t="array" ref="Z3">XLOOKUP($B3, '資料源(請謹慎編輯)'!$B:$B, '資料源(請謹慎編輯)'!Z:Z, 0)</f>
        <v/>
      </c>
    </row>
    <row r="4" ht="18.75" customHeight="1">
      <c r="A4" s="5" t="s">
        <v>28</v>
      </c>
      <c r="B4" s="12" t="s">
        <v>29</v>
      </c>
      <c r="C4" s="13">
        <f t="array" ref="C4">XLOOKUP($B4, '資料源(請謹慎編輯)'!$B:$B, '資料源(請謹慎編輯)'!C:C, 0)</f>
        <v>2</v>
      </c>
      <c r="D4" s="14" t="str">
        <f t="array" ref="D4">XLOOKUP($B4, '資料源(請謹慎編輯)'!$B:$B, '資料源(請謹慎編輯)'!D:D, 0)</f>
        <v/>
      </c>
      <c r="E4" s="13" t="str">
        <f t="array" ref="E4">XLOOKUP($B4, '資料源(請謹慎編輯)'!$B:$B, '資料源(請謹慎編輯)'!E:E, 0)</f>
        <v/>
      </c>
      <c r="F4" s="14">
        <f t="array" ref="F4">XLOOKUP($B4, '資料源(請謹慎編輯)'!$B:$B, '資料源(請謹慎編輯)'!F:F, 0)</f>
        <v>1</v>
      </c>
      <c r="G4" s="13">
        <f t="array" ref="G4">XLOOKUP($B4, '資料源(請謹慎編輯)'!$B:$B, '資料源(請謹慎編輯)'!G:G, 0)</f>
        <v>1</v>
      </c>
      <c r="H4" s="14" t="str">
        <f t="array" ref="H4">XLOOKUP($B4, '資料源(請謹慎編輯)'!$B:$B, '資料源(請謹慎編輯)'!H:H, 0)</f>
        <v/>
      </c>
      <c r="I4" s="13" t="str">
        <f t="array" ref="I4">XLOOKUP($B4, '資料源(請謹慎編輯)'!$B:$B, '資料源(請謹慎編輯)'!I:I, 0)</f>
        <v/>
      </c>
      <c r="J4" s="14" t="str">
        <f t="array" ref="J4">XLOOKUP($B4, '資料源(請謹慎編輯)'!$B:$B, '資料源(請謹慎編輯)'!J:J, 0)</f>
        <v/>
      </c>
      <c r="K4" s="13" t="str">
        <f t="array" ref="K4">XLOOKUP($B4, '資料源(請謹慎編輯)'!$B:$B, '資料源(請謹慎編輯)'!K:K, 0)</f>
        <v/>
      </c>
      <c r="L4" s="14" t="str">
        <f t="array" ref="L4">XLOOKUP($B4, '資料源(請謹慎編輯)'!$B:$B, '資料源(請謹慎編輯)'!L:L, 0)</f>
        <v/>
      </c>
      <c r="M4" s="13" t="str">
        <f t="array" ref="M4">XLOOKUP($B4, '資料源(請謹慎編輯)'!$B:$B, '資料源(請謹慎編輯)'!M:M, 0)</f>
        <v/>
      </c>
      <c r="N4" s="14" t="str">
        <f t="array" ref="N4">XLOOKUP($B4, '資料源(請謹慎編輯)'!$B:$B, '資料源(請謹慎編輯)'!N:N, 0)</f>
        <v/>
      </c>
      <c r="O4" s="9" t="str">
        <f t="array" ref="O4">XLOOKUP($B4, '資料源(請謹慎編輯)'!$B:$B, '資料源(請謹慎編輯)'!O:O, 0)</f>
        <v/>
      </c>
      <c r="P4" s="10" t="str">
        <f t="array" ref="P4">XLOOKUP($B4, '資料源(請謹慎編輯)'!$B:$B, '資料源(請謹慎編輯)'!P:P, 0)</f>
        <v/>
      </c>
      <c r="Q4" s="9" t="str">
        <f t="array" ref="Q4">XLOOKUP($B4, '資料源(請謹慎編輯)'!$B:$B, '資料源(請謹慎編輯)'!Q:Q, 0)</f>
        <v/>
      </c>
      <c r="R4" s="10" t="str">
        <f t="array" ref="R4">XLOOKUP($B4, '資料源(請謹慎編輯)'!$B:$B, '資料源(請謹慎編輯)'!R:R, 0)</f>
        <v/>
      </c>
      <c r="S4" s="9" t="str">
        <f t="array" ref="S4">XLOOKUP($B4, '資料源(請謹慎編輯)'!$B:$B, '資料源(請謹慎編輯)'!S:S, 0)</f>
        <v/>
      </c>
      <c r="T4" s="10" t="str">
        <f t="array" ref="T4">XLOOKUP($B4, '資料源(請謹慎編輯)'!$B:$B, '資料源(請謹慎編輯)'!T:T, 0)</f>
        <v/>
      </c>
      <c r="U4" s="9" t="str">
        <f t="array" ref="U4">XLOOKUP($B4, '資料源(請謹慎編輯)'!$B:$B, '資料源(請謹慎編輯)'!U:U, 0)</f>
        <v/>
      </c>
      <c r="V4" s="10" t="str">
        <f t="array" ref="V4">XLOOKUP($B4, '資料源(請謹慎編輯)'!$B:$B, '資料源(請謹慎編輯)'!V:V, 0)</f>
        <v/>
      </c>
      <c r="W4" s="9" t="str">
        <f t="array" ref="W4">XLOOKUP($B4, '資料源(請謹慎編輯)'!$B:$B, '資料源(請謹慎編輯)'!W:W, 0)</f>
        <v/>
      </c>
      <c r="X4" s="10" t="str">
        <f t="array" ref="X4">XLOOKUP($B4, '資料源(請謹慎編輯)'!$B:$B, '資料源(請謹慎編輯)'!X:X, 0)</f>
        <v/>
      </c>
      <c r="Y4" s="9" t="str">
        <f t="array" ref="Y4">XLOOKUP($B4, '資料源(請謹慎編輯)'!$B:$B, '資料源(請謹慎編輯)'!Y:Y, 0)</f>
        <v/>
      </c>
      <c r="Z4" s="11" t="str">
        <f t="array" ref="Z4">XLOOKUP($B4, '資料源(請謹慎編輯)'!$B:$B, '資料源(請謹慎編輯)'!Z:Z, 0)</f>
        <v/>
      </c>
    </row>
    <row r="5" ht="18.75" customHeight="1">
      <c r="A5" s="5" t="s">
        <v>28</v>
      </c>
      <c r="B5" s="12" t="s">
        <v>29</v>
      </c>
      <c r="C5" s="13">
        <f t="array" ref="C5">XLOOKUP($B5, '資料源(請謹慎編輯)'!$B:$B, '資料源(請謹慎編輯)'!C:C, 0)</f>
        <v>2</v>
      </c>
      <c r="D5" s="14" t="str">
        <f t="array" ref="D5">XLOOKUP($B5, '資料源(請謹慎編輯)'!$B:$B, '資料源(請謹慎編輯)'!D:D, 0)</f>
        <v/>
      </c>
      <c r="E5" s="13" t="str">
        <f t="array" ref="E5">XLOOKUP($B5, '資料源(請謹慎編輯)'!$B:$B, '資料源(請謹慎編輯)'!E:E, 0)</f>
        <v/>
      </c>
      <c r="F5" s="14">
        <f t="array" ref="F5">XLOOKUP($B5, '資料源(請謹慎編輯)'!$B:$B, '資料源(請謹慎編輯)'!F:F, 0)</f>
        <v>1</v>
      </c>
      <c r="G5" s="13">
        <f t="array" ref="G5">XLOOKUP($B5, '資料源(請謹慎編輯)'!$B:$B, '資料源(請謹慎編輯)'!G:G, 0)</f>
        <v>1</v>
      </c>
      <c r="H5" s="14" t="str">
        <f t="array" ref="H5">XLOOKUP($B5, '資料源(請謹慎編輯)'!$B:$B, '資料源(請謹慎編輯)'!H:H, 0)</f>
        <v/>
      </c>
      <c r="I5" s="13" t="str">
        <f t="array" ref="I5">XLOOKUP($B5, '資料源(請謹慎編輯)'!$B:$B, '資料源(請謹慎編輯)'!I:I, 0)</f>
        <v/>
      </c>
      <c r="J5" s="14" t="str">
        <f t="array" ref="J5">XLOOKUP($B5, '資料源(請謹慎編輯)'!$B:$B, '資料源(請謹慎編輯)'!J:J, 0)</f>
        <v/>
      </c>
      <c r="K5" s="13" t="str">
        <f t="array" ref="K5">XLOOKUP($B5, '資料源(請謹慎編輯)'!$B:$B, '資料源(請謹慎編輯)'!K:K, 0)</f>
        <v/>
      </c>
      <c r="L5" s="14" t="str">
        <f t="array" ref="L5">XLOOKUP($B5, '資料源(請謹慎編輯)'!$B:$B, '資料源(請謹慎編輯)'!L:L, 0)</f>
        <v/>
      </c>
      <c r="M5" s="13" t="str">
        <f t="array" ref="M5">XLOOKUP($B5, '資料源(請謹慎編輯)'!$B:$B, '資料源(請謹慎編輯)'!M:M, 0)</f>
        <v/>
      </c>
      <c r="N5" s="16" t="str">
        <f t="array" ref="N5">XLOOKUP($B5, '資料源(請謹慎編輯)'!$B:$B, '資料源(請謹慎編輯)'!N:N, 0)</f>
        <v/>
      </c>
      <c r="O5" s="9" t="str">
        <f t="array" ref="O5">XLOOKUP($B5, '資料源(請謹慎編輯)'!$B:$B, '資料源(請謹慎編輯)'!O:O, 0)</f>
        <v/>
      </c>
      <c r="P5" s="10" t="str">
        <f t="array" ref="P5">XLOOKUP($B5, '資料源(請謹慎編輯)'!$B:$B, '資料源(請謹慎編輯)'!P:P, 0)</f>
        <v/>
      </c>
      <c r="Q5" s="9" t="str">
        <f t="array" ref="Q5">XLOOKUP($B5, '資料源(請謹慎編輯)'!$B:$B, '資料源(請謹慎編輯)'!Q:Q, 0)</f>
        <v/>
      </c>
      <c r="R5" s="10" t="str">
        <f t="array" ref="R5">XLOOKUP($B5, '資料源(請謹慎編輯)'!$B:$B, '資料源(請謹慎編輯)'!R:R, 0)</f>
        <v/>
      </c>
      <c r="S5" s="9" t="str">
        <f t="array" ref="S5">XLOOKUP($B5, '資料源(請謹慎編輯)'!$B:$B, '資料源(請謹慎編輯)'!S:S, 0)</f>
        <v/>
      </c>
      <c r="T5" s="10" t="str">
        <f t="array" ref="T5">XLOOKUP($B5, '資料源(請謹慎編輯)'!$B:$B, '資料源(請謹慎編輯)'!T:T, 0)</f>
        <v/>
      </c>
      <c r="U5" s="9" t="str">
        <f t="array" ref="U5">XLOOKUP($B5, '資料源(請謹慎編輯)'!$B:$B, '資料源(請謹慎編輯)'!U:U, 0)</f>
        <v/>
      </c>
      <c r="V5" s="10" t="str">
        <f t="array" ref="V5">XLOOKUP($B5, '資料源(請謹慎編輯)'!$B:$B, '資料源(請謹慎編輯)'!V:V, 0)</f>
        <v/>
      </c>
      <c r="W5" s="9" t="str">
        <f t="array" ref="W5">XLOOKUP($B5, '資料源(請謹慎編輯)'!$B:$B, '資料源(請謹慎編輯)'!W:W, 0)</f>
        <v/>
      </c>
      <c r="X5" s="10" t="str">
        <f t="array" ref="X5">XLOOKUP($B5, '資料源(請謹慎編輯)'!$B:$B, '資料源(請謹慎編輯)'!X:X, 0)</f>
        <v/>
      </c>
      <c r="Y5" s="9" t="str">
        <f t="array" ref="Y5">XLOOKUP($B5, '資料源(請謹慎編輯)'!$B:$B, '資料源(請謹慎編輯)'!Y:Y, 0)</f>
        <v/>
      </c>
      <c r="Z5" s="11" t="str">
        <f t="array" ref="Z5">XLOOKUP($B5, '資料源(請謹慎編輯)'!$B:$B, '資料源(請謹慎編輯)'!Z:Z, 0)</f>
        <v/>
      </c>
    </row>
    <row r="6" ht="18.75" customHeight="1">
      <c r="A6" s="5" t="s">
        <v>30</v>
      </c>
      <c r="B6" s="12" t="s">
        <v>31</v>
      </c>
      <c r="C6" s="15" t="str">
        <f t="array" ref="C6">XLOOKUP($B6, '資料源(請謹慎編輯)'!$B:$B, '資料源(請謹慎編輯)'!C:C, 0)</f>
        <v/>
      </c>
      <c r="D6" s="16">
        <f t="array" ref="D6">XLOOKUP($B6, '資料源(請謹慎編輯)'!$B:$B, '資料源(請謹慎編輯)'!D:D, 0)</f>
        <v>2</v>
      </c>
      <c r="E6" s="15" t="str">
        <f t="array" ref="E6">XLOOKUP($B6, '資料源(請謹慎編輯)'!$B:$B, '資料源(請謹慎編輯)'!E:E, 0)</f>
        <v/>
      </c>
      <c r="F6" s="16" t="str">
        <f t="array" ref="F6">XLOOKUP($B6, '資料源(請謹慎編輯)'!$B:$B, '資料源(請謹慎編輯)'!F:F, 0)</f>
        <v/>
      </c>
      <c r="G6" s="15" t="str">
        <f t="array" ref="G6">XLOOKUP($B6, '資料源(請謹慎編輯)'!$B:$B, '資料源(請謹慎編輯)'!G:G, 0)</f>
        <v/>
      </c>
      <c r="H6" s="16">
        <f t="array" ref="H6">XLOOKUP($B6, '資料源(請謹慎編輯)'!$B:$B, '資料源(請謹慎編輯)'!H:H, 0)</f>
        <v>1</v>
      </c>
      <c r="I6" s="15" t="str">
        <f t="array" ref="I6">XLOOKUP($B6, '資料源(請謹慎編輯)'!$B:$B, '資料源(請謹慎編輯)'!I:I, 0)</f>
        <v/>
      </c>
      <c r="J6" s="16" t="str">
        <f t="array" ref="J6">XLOOKUP($B6, '資料源(請謹慎編輯)'!$B:$B, '資料源(請謹慎編輯)'!J:J, 0)</f>
        <v/>
      </c>
      <c r="K6" s="15" t="str">
        <f t="array" ref="K6">XLOOKUP($B6, '資料源(請謹慎編輯)'!$B:$B, '資料源(請謹慎編輯)'!K:K, 0)</f>
        <v/>
      </c>
      <c r="L6" s="16" t="str">
        <f t="array" ref="L6">XLOOKUP($B6, '資料源(請謹慎編輯)'!$B:$B, '資料源(請謹慎編輯)'!L:L, 0)</f>
        <v/>
      </c>
      <c r="M6" s="15" t="str">
        <f t="array" ref="M6">XLOOKUP($B6, '資料源(請謹慎編輯)'!$B:$B, '資料源(請謹慎編輯)'!M:M, 0)</f>
        <v/>
      </c>
      <c r="N6" s="16" t="str">
        <f t="array" ref="N6">XLOOKUP($B6, '資料源(請謹慎編輯)'!$B:$B, '資料源(請謹慎編輯)'!N:N, 0)</f>
        <v/>
      </c>
      <c r="O6" s="9" t="str">
        <f t="array" ref="O6">XLOOKUP($B6, '資料源(請謹慎編輯)'!$B:$B, '資料源(請謹慎編輯)'!O:O, 0)</f>
        <v/>
      </c>
      <c r="P6" s="10" t="str">
        <f t="array" ref="P6">XLOOKUP($B6, '資料源(請謹慎編輯)'!$B:$B, '資料源(請謹慎編輯)'!P:P, 0)</f>
        <v/>
      </c>
      <c r="Q6" s="9" t="str">
        <f t="array" ref="Q6">XLOOKUP($B6, '資料源(請謹慎編輯)'!$B:$B, '資料源(請謹慎編輯)'!Q:Q, 0)</f>
        <v/>
      </c>
      <c r="R6" s="10" t="str">
        <f t="array" ref="R6">XLOOKUP($B6, '資料源(請謹慎編輯)'!$B:$B, '資料源(請謹慎編輯)'!R:R, 0)</f>
        <v/>
      </c>
      <c r="S6" s="9" t="str">
        <f t="array" ref="S6">XLOOKUP($B6, '資料源(請謹慎編輯)'!$B:$B, '資料源(請謹慎編輯)'!S:S, 0)</f>
        <v/>
      </c>
      <c r="T6" s="10" t="str">
        <f t="array" ref="T6">XLOOKUP($B6, '資料源(請謹慎編輯)'!$B:$B, '資料源(請謹慎編輯)'!T:T, 0)</f>
        <v/>
      </c>
      <c r="U6" s="9" t="str">
        <f t="array" ref="U6">XLOOKUP($B6, '資料源(請謹慎編輯)'!$B:$B, '資料源(請謹慎編輯)'!U:U, 0)</f>
        <v/>
      </c>
      <c r="V6" s="10" t="str">
        <f t="array" ref="V6">XLOOKUP($B6, '資料源(請謹慎編輯)'!$B:$B, '資料源(請謹慎編輯)'!V:V, 0)</f>
        <v/>
      </c>
      <c r="W6" s="9" t="str">
        <f t="array" ref="W6">XLOOKUP($B6, '資料源(請謹慎編輯)'!$B:$B, '資料源(請謹慎編輯)'!W:W, 0)</f>
        <v/>
      </c>
      <c r="X6" s="10" t="str">
        <f t="array" ref="X6">XLOOKUP($B6, '資料源(請謹慎編輯)'!$B:$B, '資料源(請謹慎編輯)'!X:X, 0)</f>
        <v/>
      </c>
      <c r="Y6" s="9" t="str">
        <f t="array" ref="Y6">XLOOKUP($B6, '資料源(請謹慎編輯)'!$B:$B, '資料源(請謹慎編輯)'!Y:Y, 0)</f>
        <v/>
      </c>
      <c r="Z6" s="11" t="str">
        <f t="array" ref="Z6">XLOOKUP($B6, '資料源(請謹慎編輯)'!$B:$B, '資料源(請謹慎編輯)'!Z:Z, 0)</f>
        <v/>
      </c>
    </row>
    <row r="7" ht="18.75" customHeight="1">
      <c r="A7" s="5" t="s">
        <v>32</v>
      </c>
      <c r="B7" s="12" t="s">
        <v>33</v>
      </c>
      <c r="C7" s="15">
        <f t="array" ref="C7">XLOOKUP($B7, '資料源(請謹慎編輯)'!$B:$B, '資料源(請謹慎編輯)'!C:C, 0)</f>
        <v>2</v>
      </c>
      <c r="D7" s="16" t="str">
        <f t="array" ref="D7">XLOOKUP($B7, '資料源(請謹慎編輯)'!$B:$B, '資料源(請謹慎編輯)'!D:D, 0)</f>
        <v/>
      </c>
      <c r="E7" s="15">
        <f t="array" ref="E7">XLOOKUP($B7, '資料源(請謹慎編輯)'!$B:$B, '資料源(請謹慎編輯)'!E:E, 0)</f>
        <v>2</v>
      </c>
      <c r="F7" s="16" t="str">
        <f t="array" ref="F7">XLOOKUP($B7, '資料源(請謹慎編輯)'!$B:$B, '資料源(請謹慎編輯)'!F:F, 0)</f>
        <v/>
      </c>
      <c r="G7" s="15">
        <f t="array" ref="G7">XLOOKUP($B7, '資料源(請謹慎編輯)'!$B:$B, '資料源(請謹慎編輯)'!G:G, 0)</f>
        <v>2</v>
      </c>
      <c r="H7" s="16" t="str">
        <f t="array" ref="H7">XLOOKUP($B7, '資料源(請謹慎編輯)'!$B:$B, '資料源(請謹慎編輯)'!H:H, 0)</f>
        <v/>
      </c>
      <c r="I7" s="15" t="str">
        <f t="array" ref="I7">XLOOKUP($B7, '資料源(請謹慎編輯)'!$B:$B, '資料源(請謹慎編輯)'!I:I, 0)</f>
        <v/>
      </c>
      <c r="J7" s="16" t="str">
        <f t="array" ref="J7">XLOOKUP($B7, '資料源(請謹慎編輯)'!$B:$B, '資料源(請謹慎編輯)'!J:J, 0)</f>
        <v/>
      </c>
      <c r="K7" s="15" t="str">
        <f t="array" ref="K7">XLOOKUP($B7, '資料源(請謹慎編輯)'!$B:$B, '資料源(請謹慎編輯)'!K:K, 0)</f>
        <v/>
      </c>
      <c r="L7" s="16" t="str">
        <f t="array" ref="L7">XLOOKUP($B7, '資料源(請謹慎編輯)'!$B:$B, '資料源(請謹慎編輯)'!L:L, 0)</f>
        <v/>
      </c>
      <c r="M7" s="15" t="str">
        <f t="array" ref="M7">XLOOKUP($B7, '資料源(請謹慎編輯)'!$B:$B, '資料源(請謹慎編輯)'!M:M, 0)</f>
        <v/>
      </c>
      <c r="N7" s="16" t="str">
        <f t="array" ref="N7">XLOOKUP($B7, '資料源(請謹慎編輯)'!$B:$B, '資料源(請謹慎編輯)'!N:N, 0)</f>
        <v/>
      </c>
      <c r="O7" s="9" t="str">
        <f t="array" ref="O7">XLOOKUP($B7, '資料源(請謹慎編輯)'!$B:$B, '資料源(請謹慎編輯)'!O:O, 0)</f>
        <v/>
      </c>
      <c r="P7" s="10" t="str">
        <f t="array" ref="P7">XLOOKUP($B7, '資料源(請謹慎編輯)'!$B:$B, '資料源(請謹慎編輯)'!P:P, 0)</f>
        <v/>
      </c>
      <c r="Q7" s="9" t="str">
        <f t="array" ref="Q7">XLOOKUP($B7, '資料源(請謹慎編輯)'!$B:$B, '資料源(請謹慎編輯)'!Q:Q, 0)</f>
        <v/>
      </c>
      <c r="R7" s="10" t="str">
        <f t="array" ref="R7">XLOOKUP($B7, '資料源(請謹慎編輯)'!$B:$B, '資料源(請謹慎編輯)'!R:R, 0)</f>
        <v/>
      </c>
      <c r="S7" s="9" t="str">
        <f t="array" ref="S7">XLOOKUP($B7, '資料源(請謹慎編輯)'!$B:$B, '資料源(請謹慎編輯)'!S:S, 0)</f>
        <v/>
      </c>
      <c r="T7" s="10" t="str">
        <f t="array" ref="T7">XLOOKUP($B7, '資料源(請謹慎編輯)'!$B:$B, '資料源(請謹慎編輯)'!T:T, 0)</f>
        <v/>
      </c>
      <c r="U7" s="9" t="str">
        <f t="array" ref="U7">XLOOKUP($B7, '資料源(請謹慎編輯)'!$B:$B, '資料源(請謹慎編輯)'!U:U, 0)</f>
        <v/>
      </c>
      <c r="V7" s="10" t="str">
        <f t="array" ref="V7">XLOOKUP($B7, '資料源(請謹慎編輯)'!$B:$B, '資料源(請謹慎編輯)'!V:V, 0)</f>
        <v/>
      </c>
      <c r="W7" s="9" t="str">
        <f t="array" ref="W7">XLOOKUP($B7, '資料源(請謹慎編輯)'!$B:$B, '資料源(請謹慎編輯)'!W:W, 0)</f>
        <v/>
      </c>
      <c r="X7" s="10" t="str">
        <f t="array" ref="X7">XLOOKUP($B7, '資料源(請謹慎編輯)'!$B:$B, '資料源(請謹慎編輯)'!X:X, 0)</f>
        <v/>
      </c>
      <c r="Y7" s="9" t="str">
        <f t="array" ref="Y7">XLOOKUP($B7, '資料源(請謹慎編輯)'!$B:$B, '資料源(請謹慎編輯)'!Y:Y, 0)</f>
        <v/>
      </c>
      <c r="Z7" s="11" t="str">
        <f t="array" ref="Z7">XLOOKUP($B7, '資料源(請謹慎編輯)'!$B:$B, '資料源(請謹慎編輯)'!Z:Z, 0)</f>
        <v/>
      </c>
    </row>
    <row r="8" ht="18.75" customHeight="1">
      <c r="A8" s="5" t="s">
        <v>34</v>
      </c>
      <c r="B8" s="12" t="s">
        <v>35</v>
      </c>
      <c r="C8" s="15" t="str">
        <f t="array" ref="C8">XLOOKUP($B8, '資料源(請謹慎編輯)'!$B:$B, '資料源(請謹慎編輯)'!C:C, 0)</f>
        <v/>
      </c>
      <c r="D8" s="16" t="str">
        <f t="array" ref="D8">XLOOKUP($B8, '資料源(請謹慎編輯)'!$B:$B, '資料源(請謹慎編輯)'!D:D, 0)</f>
        <v/>
      </c>
      <c r="E8" s="15">
        <f t="array" ref="E8">XLOOKUP($B8, '資料源(請謹慎編輯)'!$B:$B, '資料源(請謹慎編輯)'!E:E, 0)</f>
        <v>2</v>
      </c>
      <c r="F8" s="16">
        <f t="array" ref="F8">XLOOKUP($B8, '資料源(請謹慎編輯)'!$B:$B, '資料源(請謹慎編輯)'!F:F, 0)</f>
        <v>3</v>
      </c>
      <c r="G8" s="15">
        <f t="array" ref="G8">XLOOKUP($B8, '資料源(請謹慎編輯)'!$B:$B, '資料源(請謹慎編輯)'!G:G, 0)</f>
        <v>3</v>
      </c>
      <c r="H8" s="16" t="str">
        <f t="array" ref="H8">XLOOKUP($B8, '資料源(請謹慎編輯)'!$B:$B, '資料源(請謹慎編輯)'!H:H, 0)</f>
        <v/>
      </c>
      <c r="I8" s="15" t="str">
        <f t="array" ref="I8">XLOOKUP($B8, '資料源(請謹慎編輯)'!$B:$B, '資料源(請謹慎編輯)'!I:I, 0)</f>
        <v/>
      </c>
      <c r="J8" s="16" t="str">
        <f t="array" ref="J8">XLOOKUP($B8, '資料源(請謹慎編輯)'!$B:$B, '資料源(請謹慎編輯)'!J:J, 0)</f>
        <v/>
      </c>
      <c r="K8" s="15" t="str">
        <f t="array" ref="K8">XLOOKUP($B8, '資料源(請謹慎編輯)'!$B:$B, '資料源(請謹慎編輯)'!K:K, 0)</f>
        <v/>
      </c>
      <c r="L8" s="16" t="str">
        <f t="array" ref="L8">XLOOKUP($B8, '資料源(請謹慎編輯)'!$B:$B, '資料源(請謹慎編輯)'!L:L, 0)</f>
        <v/>
      </c>
      <c r="M8" s="15" t="str">
        <f t="array" ref="M8">XLOOKUP($B8, '資料源(請謹慎編輯)'!$B:$B, '資料源(請謹慎編輯)'!M:M, 0)</f>
        <v/>
      </c>
      <c r="N8" s="16" t="str">
        <f t="array" ref="N8">XLOOKUP($B8, '資料源(請謹慎編輯)'!$B:$B, '資料源(請謹慎編輯)'!N:N, 0)</f>
        <v/>
      </c>
      <c r="O8" s="9" t="str">
        <f t="array" ref="O8">XLOOKUP($B8, '資料源(請謹慎編輯)'!$B:$B, '資料源(請謹慎編輯)'!O:O, 0)</f>
        <v/>
      </c>
      <c r="P8" s="10" t="str">
        <f t="array" ref="P8">XLOOKUP($B8, '資料源(請謹慎編輯)'!$B:$B, '資料源(請謹慎編輯)'!P:P, 0)</f>
        <v/>
      </c>
      <c r="Q8" s="9" t="str">
        <f t="array" ref="Q8">XLOOKUP($B8, '資料源(請謹慎編輯)'!$B:$B, '資料源(請謹慎編輯)'!Q:Q, 0)</f>
        <v/>
      </c>
      <c r="R8" s="10" t="str">
        <f t="array" ref="R8">XLOOKUP($B8, '資料源(請謹慎編輯)'!$B:$B, '資料源(請謹慎編輯)'!R:R, 0)</f>
        <v/>
      </c>
      <c r="S8" s="9" t="str">
        <f t="array" ref="S8">XLOOKUP($B8, '資料源(請謹慎編輯)'!$B:$B, '資料源(請謹慎編輯)'!S:S, 0)</f>
        <v/>
      </c>
      <c r="T8" s="10" t="str">
        <f t="array" ref="T8">XLOOKUP($B8, '資料源(請謹慎編輯)'!$B:$B, '資料源(請謹慎編輯)'!T:T, 0)</f>
        <v/>
      </c>
      <c r="U8" s="9" t="str">
        <f t="array" ref="U8">XLOOKUP($B8, '資料源(請謹慎編輯)'!$B:$B, '資料源(請謹慎編輯)'!U:U, 0)</f>
        <v/>
      </c>
      <c r="V8" s="10" t="str">
        <f t="array" ref="V8">XLOOKUP($B8, '資料源(請謹慎編輯)'!$B:$B, '資料源(請謹慎編輯)'!V:V, 0)</f>
        <v/>
      </c>
      <c r="W8" s="9" t="str">
        <f t="array" ref="W8">XLOOKUP($B8, '資料源(請謹慎編輯)'!$B:$B, '資料源(請謹慎編輯)'!W:W, 0)</f>
        <v/>
      </c>
      <c r="X8" s="10" t="str">
        <f t="array" ref="X8">XLOOKUP($B8, '資料源(請謹慎編輯)'!$B:$B, '資料源(請謹慎編輯)'!X:X, 0)</f>
        <v/>
      </c>
      <c r="Y8" s="9" t="str">
        <f t="array" ref="Y8">XLOOKUP($B8, '資料源(請謹慎編輯)'!$B:$B, '資料源(請謹慎編輯)'!Y:Y, 0)</f>
        <v/>
      </c>
      <c r="Z8" s="11" t="str">
        <f t="array" ref="Z8">XLOOKUP($B8, '資料源(請謹慎編輯)'!$B:$B, '資料源(請謹慎編輯)'!Z:Z, 0)</f>
        <v/>
      </c>
    </row>
    <row r="9" ht="18.75" customHeight="1">
      <c r="A9" s="5" t="s">
        <v>36</v>
      </c>
      <c r="B9" s="12" t="s">
        <v>37</v>
      </c>
      <c r="C9" s="7">
        <f t="array" ref="C9">XLOOKUP($B9, '資料源(請謹慎編輯)'!$B:$B, '資料源(請謹慎編輯)'!C:C, 0)</f>
        <v>3</v>
      </c>
      <c r="D9" s="8" t="str">
        <f t="array" ref="D9">XLOOKUP($B9, '資料源(請謹慎編輯)'!$B:$B, '資料源(請謹慎編輯)'!D:D, 0)</f>
        <v/>
      </c>
      <c r="E9" s="7" t="str">
        <f t="array" ref="E9">XLOOKUP($B9, '資料源(請謹慎編輯)'!$B:$B, '資料源(請謹慎編輯)'!E:E, 0)</f>
        <v/>
      </c>
      <c r="F9" s="8">
        <f t="array" ref="F9">XLOOKUP($B9, '資料源(請謹慎編輯)'!$B:$B, '資料源(請謹慎編輯)'!F:F, 0)</f>
        <v>3</v>
      </c>
      <c r="G9" s="7" t="str">
        <f t="array" ref="G9">XLOOKUP($B9, '資料源(請謹慎編輯)'!$B:$B, '資料源(請謹慎編輯)'!G:G, 0)</f>
        <v/>
      </c>
      <c r="H9" s="8" t="str">
        <f t="array" ref="H9">XLOOKUP($B9, '資料源(請謹慎編輯)'!$B:$B, '資料源(請謹慎編輯)'!H:H, 0)</f>
        <v/>
      </c>
      <c r="I9" s="7" t="str">
        <f t="array" ref="I9">XLOOKUP($B9, '資料源(請謹慎編輯)'!$B:$B, '資料源(請謹慎編輯)'!I:I, 0)</f>
        <v/>
      </c>
      <c r="J9" s="8">
        <f t="array" ref="J9">XLOOKUP($B9, '資料源(請謹慎編輯)'!$B:$B, '資料源(請謹慎編輯)'!J:J, 0)</f>
        <v>2</v>
      </c>
      <c r="K9" s="7" t="str">
        <f t="array" ref="K9">XLOOKUP($B9, '資料源(請謹慎編輯)'!$B:$B, '資料源(請謹慎編輯)'!K:K, 0)</f>
        <v/>
      </c>
      <c r="L9" s="8" t="str">
        <f t="array" ref="L9">XLOOKUP($B9, '資料源(請謹慎編輯)'!$B:$B, '資料源(請謹慎編輯)'!L:L, 0)</f>
        <v/>
      </c>
      <c r="M9" s="7" t="str">
        <f t="array" ref="M9">XLOOKUP($B9, '資料源(請謹慎編輯)'!$B:$B, '資料源(請謹慎編輯)'!M:M, 0)</f>
        <v/>
      </c>
      <c r="N9" s="8" t="str">
        <f t="array" ref="N9">XLOOKUP($B9, '資料源(請謹慎編輯)'!$B:$B, '資料源(請謹慎編輯)'!N:N, 0)</f>
        <v/>
      </c>
      <c r="O9" s="9" t="str">
        <f t="array" ref="O9">XLOOKUP($B9, '資料源(請謹慎編輯)'!$B:$B, '資料源(請謹慎編輯)'!O:O, 0)</f>
        <v/>
      </c>
      <c r="P9" s="10" t="str">
        <f t="array" ref="P9">XLOOKUP($B9, '資料源(請謹慎編輯)'!$B:$B, '資料源(請謹慎編輯)'!P:P, 0)</f>
        <v/>
      </c>
      <c r="Q9" s="9" t="str">
        <f t="array" ref="Q9">XLOOKUP($B9, '資料源(請謹慎編輯)'!$B:$B, '資料源(請謹慎編輯)'!Q:Q, 0)</f>
        <v/>
      </c>
      <c r="R9" s="10" t="str">
        <f t="array" ref="R9">XLOOKUP($B9, '資料源(請謹慎編輯)'!$B:$B, '資料源(請謹慎編輯)'!R:R, 0)</f>
        <v/>
      </c>
      <c r="S9" s="9" t="str">
        <f t="array" ref="S9">XLOOKUP($B9, '資料源(請謹慎編輯)'!$B:$B, '資料源(請謹慎編輯)'!S:S, 0)</f>
        <v/>
      </c>
      <c r="T9" s="10" t="str">
        <f t="array" ref="T9">XLOOKUP($B9, '資料源(請謹慎編輯)'!$B:$B, '資料源(請謹慎編輯)'!T:T, 0)</f>
        <v/>
      </c>
      <c r="U9" s="9" t="str">
        <f t="array" ref="U9">XLOOKUP($B9, '資料源(請謹慎編輯)'!$B:$B, '資料源(請謹慎編輯)'!U:U, 0)</f>
        <v/>
      </c>
      <c r="V9" s="10" t="str">
        <f t="array" ref="V9">XLOOKUP($B9, '資料源(請謹慎編輯)'!$B:$B, '資料源(請謹慎編輯)'!V:V, 0)</f>
        <v/>
      </c>
      <c r="W9" s="9" t="str">
        <f t="array" ref="W9">XLOOKUP($B9, '資料源(請謹慎編輯)'!$B:$B, '資料源(請謹慎編輯)'!W:W, 0)</f>
        <v/>
      </c>
      <c r="X9" s="10" t="str">
        <f t="array" ref="X9">XLOOKUP($B9, '資料源(請謹慎編輯)'!$B:$B, '資料源(請謹慎編輯)'!X:X, 0)</f>
        <v/>
      </c>
      <c r="Y9" s="9" t="str">
        <f t="array" ref="Y9">XLOOKUP($B9, '資料源(請謹慎編輯)'!$B:$B, '資料源(請謹慎編輯)'!Y:Y, 0)</f>
        <v/>
      </c>
      <c r="Z9" s="11" t="str">
        <f t="array" ref="Z9">XLOOKUP($B9, '資料源(請謹慎編輯)'!$B:$B, '資料源(請謹慎編輯)'!Z:Z, 0)</f>
        <v/>
      </c>
    </row>
    <row r="10" ht="18.75" customHeight="1">
      <c r="A10" s="5" t="s">
        <v>38</v>
      </c>
      <c r="B10" s="12" t="s">
        <v>39</v>
      </c>
      <c r="C10" s="15" t="str">
        <f t="array" ref="C10">XLOOKUP($B10, '資料源(請謹慎編輯)'!$B:$B, '資料源(請謹慎編輯)'!C:C, 0)</f>
        <v/>
      </c>
      <c r="D10" s="16">
        <f t="array" ref="D10">XLOOKUP($B10, '資料源(請謹慎編輯)'!$B:$B, '資料源(請謹慎編輯)'!D:D, 0)</f>
        <v>2</v>
      </c>
      <c r="E10" s="15">
        <f t="array" ref="E10">XLOOKUP($B10, '資料源(請謹慎編輯)'!$B:$B, '資料源(請謹慎編輯)'!E:E, 0)</f>
        <v>2</v>
      </c>
      <c r="F10" s="16" t="str">
        <f t="array" ref="F10">XLOOKUP($B10, '資料源(請謹慎編輯)'!$B:$B, '資料源(請謹慎編輯)'!F:F, 0)</f>
        <v/>
      </c>
      <c r="G10" s="15" t="str">
        <f t="array" ref="G10">XLOOKUP($B10, '資料源(請謹慎編輯)'!$B:$B, '資料源(請謹慎編輯)'!G:G, 0)</f>
        <v/>
      </c>
      <c r="H10" s="16">
        <f t="array" ref="H10">XLOOKUP($B10, '資料源(請謹慎編輯)'!$B:$B, '資料源(請謹慎編輯)'!H:H, 0)</f>
        <v>3</v>
      </c>
      <c r="I10" s="15" t="str">
        <f t="array" ref="I10">XLOOKUP($B10, '資料源(請謹慎編輯)'!$B:$B, '資料源(請謹慎編輯)'!I:I, 0)</f>
        <v/>
      </c>
      <c r="J10" s="16" t="str">
        <f t="array" ref="J10">XLOOKUP($B10, '資料源(請謹慎編輯)'!$B:$B, '資料源(請謹慎編輯)'!J:J, 0)</f>
        <v/>
      </c>
      <c r="K10" s="15" t="str">
        <f t="array" ref="K10">XLOOKUP($B10, '資料源(請謹慎編輯)'!$B:$B, '資料源(請謹慎編輯)'!K:K, 0)</f>
        <v/>
      </c>
      <c r="L10" s="16" t="str">
        <f t="array" ref="L10">XLOOKUP($B10, '資料源(請謹慎編輯)'!$B:$B, '資料源(請謹慎編輯)'!L:L, 0)</f>
        <v/>
      </c>
      <c r="M10" s="15" t="str">
        <f t="array" ref="M10">XLOOKUP($B10, '資料源(請謹慎編輯)'!$B:$B, '資料源(請謹慎編輯)'!M:M, 0)</f>
        <v/>
      </c>
      <c r="N10" s="16" t="str">
        <f t="array" ref="N10">XLOOKUP($B10, '資料源(請謹慎編輯)'!$B:$B, '資料源(請謹慎編輯)'!N:N, 0)</f>
        <v/>
      </c>
      <c r="O10" s="9" t="str">
        <f t="array" ref="O10">XLOOKUP($B10, '資料源(請謹慎編輯)'!$B:$B, '資料源(請謹慎編輯)'!O:O, 0)</f>
        <v/>
      </c>
      <c r="P10" s="10" t="str">
        <f t="array" ref="P10">XLOOKUP($B10, '資料源(請謹慎編輯)'!$B:$B, '資料源(請謹慎編輯)'!P:P, 0)</f>
        <v/>
      </c>
      <c r="Q10" s="9" t="str">
        <f t="array" ref="Q10">XLOOKUP($B10, '資料源(請謹慎編輯)'!$B:$B, '資料源(請謹慎編輯)'!Q:Q, 0)</f>
        <v/>
      </c>
      <c r="R10" s="10" t="str">
        <f t="array" ref="R10">XLOOKUP($B10, '資料源(請謹慎編輯)'!$B:$B, '資料源(請謹慎編輯)'!R:R, 0)</f>
        <v/>
      </c>
      <c r="S10" s="9" t="str">
        <f t="array" ref="S10">XLOOKUP($B10, '資料源(請謹慎編輯)'!$B:$B, '資料源(請謹慎編輯)'!S:S, 0)</f>
        <v/>
      </c>
      <c r="T10" s="10" t="str">
        <f t="array" ref="T10">XLOOKUP($B10, '資料源(請謹慎編輯)'!$B:$B, '資料源(請謹慎編輯)'!T:T, 0)</f>
        <v/>
      </c>
      <c r="U10" s="9" t="str">
        <f t="array" ref="U10">XLOOKUP($B10, '資料源(請謹慎編輯)'!$B:$B, '資料源(請謹慎編輯)'!U:U, 0)</f>
        <v/>
      </c>
      <c r="V10" s="10" t="str">
        <f t="array" ref="V10">XLOOKUP($B10, '資料源(請謹慎編輯)'!$B:$B, '資料源(請謹慎編輯)'!V:V, 0)</f>
        <v/>
      </c>
      <c r="W10" s="9" t="str">
        <f t="array" ref="W10">XLOOKUP($B10, '資料源(請謹慎編輯)'!$B:$B, '資料源(請謹慎編輯)'!W:W, 0)</f>
        <v/>
      </c>
      <c r="X10" s="10" t="str">
        <f t="array" ref="X10">XLOOKUP($B10, '資料源(請謹慎編輯)'!$B:$B, '資料源(請謹慎編輯)'!X:X, 0)</f>
        <v/>
      </c>
      <c r="Y10" s="9" t="str">
        <f t="array" ref="Y10">XLOOKUP($B10, '資料源(請謹慎編輯)'!$B:$B, '資料源(請謹慎編輯)'!Y:Y, 0)</f>
        <v/>
      </c>
      <c r="Z10" s="11" t="str">
        <f t="array" ref="Z10">XLOOKUP($B10, '資料源(請謹慎編輯)'!$B:$B, '資料源(請謹慎編輯)'!Z:Z, 0)</f>
        <v/>
      </c>
    </row>
    <row r="11" ht="18.75" customHeight="1">
      <c r="A11" s="5" t="s">
        <v>40</v>
      </c>
      <c r="B11" s="12" t="s">
        <v>41</v>
      </c>
      <c r="C11" s="15" t="str">
        <f t="array" ref="C11">XLOOKUP($B11, '資料源(請謹慎編輯)'!$B:$B, '資料源(請謹慎編輯)'!C:C, 0)</f>
        <v/>
      </c>
      <c r="D11" s="16" t="str">
        <f t="array" ref="D11">XLOOKUP($B11, '資料源(請謹慎編輯)'!$B:$B, '資料源(請謹慎編輯)'!D:D, 0)</f>
        <v/>
      </c>
      <c r="E11" s="15">
        <f t="array" ref="E11">XLOOKUP($B11, '資料源(請謹慎編輯)'!$B:$B, '資料源(請謹慎編輯)'!E:E, 0)</f>
        <v>2</v>
      </c>
      <c r="F11" s="16" t="str">
        <f t="array" ref="F11">XLOOKUP($B11, '資料源(請謹慎編輯)'!$B:$B, '資料源(請謹慎編輯)'!F:F, 0)</f>
        <v/>
      </c>
      <c r="G11" s="15" t="str">
        <f t="array" ref="G11">XLOOKUP($B11, '資料源(請謹慎編輯)'!$B:$B, '資料源(請謹慎編輯)'!G:G, 0)</f>
        <v/>
      </c>
      <c r="H11" s="16">
        <f t="array" ref="H11">XLOOKUP($B11, '資料源(請謹慎編輯)'!$B:$B, '資料源(請謹慎編輯)'!H:H, 0)</f>
        <v>2</v>
      </c>
      <c r="I11" s="15">
        <f t="array" ref="I11">XLOOKUP($B11, '資料源(請謹慎編輯)'!$B:$B, '資料源(請謹慎編輯)'!I:I, 0)</f>
        <v>2</v>
      </c>
      <c r="J11" s="16" t="str">
        <f t="array" ref="J11">XLOOKUP($B11, '資料源(請謹慎編輯)'!$B:$B, '資料源(請謹慎編輯)'!J:J, 0)</f>
        <v/>
      </c>
      <c r="K11" s="15" t="str">
        <f t="array" ref="K11">XLOOKUP($B11, '資料源(請謹慎編輯)'!$B:$B, '資料源(請謹慎編輯)'!K:K, 0)</f>
        <v/>
      </c>
      <c r="L11" s="16" t="str">
        <f t="array" ref="L11">XLOOKUP($B11, '資料源(請謹慎編輯)'!$B:$B, '資料源(請謹慎編輯)'!L:L, 0)</f>
        <v/>
      </c>
      <c r="M11" s="15" t="str">
        <f t="array" ref="M11">XLOOKUP($B11, '資料源(請謹慎編輯)'!$B:$B, '資料源(請謹慎編輯)'!M:M, 0)</f>
        <v/>
      </c>
      <c r="N11" s="16" t="str">
        <f t="array" ref="N11">XLOOKUP($B11, '資料源(請謹慎編輯)'!$B:$B, '資料源(請謹慎編輯)'!N:N, 0)</f>
        <v/>
      </c>
      <c r="O11" s="9" t="str">
        <f t="array" ref="O11">XLOOKUP($B11, '資料源(請謹慎編輯)'!$B:$B, '資料源(請謹慎編輯)'!O:O, 0)</f>
        <v/>
      </c>
      <c r="P11" s="10" t="str">
        <f t="array" ref="P11">XLOOKUP($B11, '資料源(請謹慎編輯)'!$B:$B, '資料源(請謹慎編輯)'!P:P, 0)</f>
        <v/>
      </c>
      <c r="Q11" s="9" t="str">
        <f t="array" ref="Q11">XLOOKUP($B11, '資料源(請謹慎編輯)'!$B:$B, '資料源(請謹慎編輯)'!Q:Q, 0)</f>
        <v/>
      </c>
      <c r="R11" s="10" t="str">
        <f t="array" ref="R11">XLOOKUP($B11, '資料源(請謹慎編輯)'!$B:$B, '資料源(請謹慎編輯)'!R:R, 0)</f>
        <v/>
      </c>
      <c r="S11" s="9" t="str">
        <f t="array" ref="S11">XLOOKUP($B11, '資料源(請謹慎編輯)'!$B:$B, '資料源(請謹慎編輯)'!S:S, 0)</f>
        <v/>
      </c>
      <c r="T11" s="10" t="str">
        <f t="array" ref="T11">XLOOKUP($B11, '資料源(請謹慎編輯)'!$B:$B, '資料源(請謹慎編輯)'!T:T, 0)</f>
        <v/>
      </c>
      <c r="U11" s="9" t="str">
        <f t="array" ref="U11">XLOOKUP($B11, '資料源(請謹慎編輯)'!$B:$B, '資料源(請謹慎編輯)'!U:U, 0)</f>
        <v/>
      </c>
      <c r="V11" s="10" t="str">
        <f t="array" ref="V11">XLOOKUP($B11, '資料源(請謹慎編輯)'!$B:$B, '資料源(請謹慎編輯)'!V:V, 0)</f>
        <v/>
      </c>
      <c r="W11" s="9" t="str">
        <f t="array" ref="W11">XLOOKUP($B11, '資料源(請謹慎編輯)'!$B:$B, '資料源(請謹慎編輯)'!W:W, 0)</f>
        <v/>
      </c>
      <c r="X11" s="10" t="str">
        <f t="array" ref="X11">XLOOKUP($B11, '資料源(請謹慎編輯)'!$B:$B, '資料源(請謹慎編輯)'!X:X, 0)</f>
        <v/>
      </c>
      <c r="Y11" s="9" t="str">
        <f t="array" ref="Y11">XLOOKUP($B11, '資料源(請謹慎編輯)'!$B:$B, '資料源(請謹慎編輯)'!Y:Y, 0)</f>
        <v/>
      </c>
      <c r="Z11" s="11" t="str">
        <f t="array" ref="Z11">XLOOKUP($B11, '資料源(請謹慎編輯)'!$B:$B, '資料源(請謹慎編輯)'!Z:Z, 0)</f>
        <v/>
      </c>
    </row>
    <row r="12" ht="18.75" customHeight="1">
      <c r="A12" s="17" t="s">
        <v>42</v>
      </c>
      <c r="B12" s="18" t="s">
        <v>43</v>
      </c>
      <c r="C12" s="15" t="str">
        <f t="array" ref="C12">XLOOKUP($B12, '資料源(請謹慎編輯)'!$B$161:$B$170, '資料源(請謹慎編輯)'!C$161:C$170, 0)</f>
        <v/>
      </c>
      <c r="D12" s="16">
        <f t="array" ref="D12">XLOOKUP($B12, '資料源(請謹慎編輯)'!$B$161:$B$170, '資料源(請謹慎編輯)'!D$161:D$170, 0)</f>
        <v>1</v>
      </c>
      <c r="E12" s="15" t="str">
        <f t="array" ref="E12">XLOOKUP($B12, '資料源(請謹慎編輯)'!$B$161:$B$170, '資料源(請謹慎編輯)'!E$161:E$170, 0)</f>
        <v/>
      </c>
      <c r="F12" s="16">
        <f t="array" ref="F12">XLOOKUP($B12, '資料源(請謹慎編輯)'!$B$161:$B$170, '資料源(請謹慎編輯)'!F$161:F$170, 0)</f>
        <v>1</v>
      </c>
      <c r="G12" s="15" t="str">
        <f t="array" ref="G12">XLOOKUP($B12, '資料源(請謹慎編輯)'!$B$161:$B$170, '資料源(請謹慎編輯)'!G$161:G$170, 0)</f>
        <v/>
      </c>
      <c r="H12" s="16" t="str">
        <f t="array" ref="H12">XLOOKUP($B12, '資料源(請謹慎編輯)'!$B$161:$B$170, '資料源(請謹慎編輯)'!H$161:H$170, 0)</f>
        <v/>
      </c>
      <c r="I12" s="15" t="str">
        <f t="array" ref="I12">XLOOKUP($B12, '資料源(請謹慎編輯)'!$B$161:$B$170, '資料源(請謹慎編輯)'!I$161:I$170, 0)</f>
        <v/>
      </c>
      <c r="J12" s="16" t="str">
        <f t="array" ref="J12">XLOOKUP($B12, '資料源(請謹慎編輯)'!$B$161:$B$170, '資料源(請謹慎編輯)'!J$161:J$170, 0)</f>
        <v/>
      </c>
      <c r="K12" s="15" t="str">
        <f t="array" ref="K12">XLOOKUP($B12, '資料源(請謹慎編輯)'!$B$161:$B$170, '資料源(請謹慎編輯)'!K$161:K$170, 0)</f>
        <v/>
      </c>
      <c r="L12" s="16" t="str">
        <f t="array" ref="L12">XLOOKUP($B12, '資料源(請謹慎編輯)'!$B$161:$B$170, '資料源(請謹慎編輯)'!L$161:L$170, 0)</f>
        <v/>
      </c>
      <c r="M12" s="15" t="str">
        <f t="array" ref="M12">XLOOKUP($B12, '資料源(請謹慎編輯)'!$B$161:$B$170, '資料源(請謹慎編輯)'!M$161:M$170, 0)</f>
        <v/>
      </c>
      <c r="N12" s="16" t="str">
        <f t="array" ref="N12">XLOOKUP($B12, '資料源(請謹慎編輯)'!$B$161:$B$170, '資料源(請謹慎編輯)'!N$161:N$170, 0)</f>
        <v/>
      </c>
      <c r="O12" s="15" t="str">
        <f t="array" ref="O12">XLOOKUP($B12, '資料源(請謹慎編輯)'!$B$161:$B$170, '資料源(請謹慎編輯)'!O$161:O$170, 0)</f>
        <v/>
      </c>
      <c r="P12" s="16">
        <f t="array" ref="P12">XLOOKUP($B12, '資料源(請謹慎編輯)'!$B$161:$B$170, '資料源(請謹慎編輯)'!P$161:P$170, 0)</f>
        <v>1</v>
      </c>
      <c r="Q12" s="15" t="str">
        <f t="array" ref="Q12">XLOOKUP($B12, '資料源(請謹慎編輯)'!$B$161:$B$170, '資料源(請謹慎編輯)'!Q$161:Q$170, 0)</f>
        <v/>
      </c>
      <c r="R12" s="16">
        <f t="array" ref="R12">XLOOKUP($B12, '資料源(請謹慎編輯)'!$B$161:$B$170, '資料源(請謹慎編輯)'!R$161:R$170, 0)</f>
        <v>1</v>
      </c>
      <c r="S12" s="15" t="str">
        <f t="array" ref="S12">XLOOKUP($B12, '資料源(請謹慎編輯)'!$B$161:$B$170, '資料源(請謹慎編輯)'!S$161:S$170, 0)</f>
        <v/>
      </c>
      <c r="T12" s="16" t="str">
        <f t="array" ref="T12">XLOOKUP($B12, '資料源(請謹慎編輯)'!$B$161:$B$170, '資料源(請謹慎編輯)'!T$161:T$170, 0)</f>
        <v/>
      </c>
      <c r="U12" s="15" t="str">
        <f t="array" ref="U12">XLOOKUP($B12, '資料源(請謹慎編輯)'!$B$161:$B$170, '資料源(請謹慎編輯)'!U$161:U$170, 0)</f>
        <v/>
      </c>
      <c r="V12" s="16" t="str">
        <f t="array" ref="V12">XLOOKUP($B12, '資料源(請謹慎編輯)'!$B$161:$B$170, '資料源(請謹慎編輯)'!V$161:V$170, 0)</f>
        <v/>
      </c>
      <c r="W12" s="15" t="str">
        <f t="array" ref="W12">XLOOKUP($B12, '資料源(請謹慎編輯)'!$B$161:$B$170, '資料源(請謹慎編輯)'!W$161:W$170, 0)</f>
        <v/>
      </c>
      <c r="X12" s="16" t="str">
        <f t="array" ref="X12">XLOOKUP($B12, '資料源(請謹慎編輯)'!$B$161:$B$170, '資料源(請謹慎編輯)'!X$161:X$170, 0)</f>
        <v/>
      </c>
      <c r="Y12" s="15" t="str">
        <f t="array" ref="Y12">XLOOKUP($B12, '資料源(請謹慎編輯)'!$B$161:$B$170, '資料源(請謹慎編輯)'!Y$161:Y$170, 0)</f>
        <v/>
      </c>
      <c r="Z12" s="19" t="str">
        <f t="array" ref="Z12">XLOOKUP($B12, '資料源(請謹慎編輯)'!$B$161:$B$170, '資料源(請謹慎編輯)'!Z$161:Z$170, 0)</f>
        <v/>
      </c>
    </row>
    <row r="13" ht="18.75" customHeight="1">
      <c r="A13" s="20" t="s">
        <v>44</v>
      </c>
      <c r="B13" s="21"/>
      <c r="C13" s="13">
        <f t="array" ref="C13">XLOOKUP($B12, '資料源(請謹慎編輯)'!$B$161:$B$170, '資料源(請謹慎編輯)'!C$173:C$182, 0)</f>
        <v>15</v>
      </c>
      <c r="D13" s="14">
        <f t="array" ref="D13">XLOOKUP($B12, '資料源(請謹慎編輯)'!$B$161:$B$170, '資料源(請謹慎編輯)'!D$173:D$182, 0)</f>
        <v>15</v>
      </c>
      <c r="E13" s="13">
        <f t="array" ref="E13">XLOOKUP($B12, '資料源(請謹慎編輯)'!$B$161:$B$170, '資料源(請謹慎編輯)'!E$173:E$182, 0)</f>
        <v>15</v>
      </c>
      <c r="F13" s="14">
        <f t="array" ref="F13">XLOOKUP($B12, '資料源(請謹慎編輯)'!$B$161:$B$170, '資料源(請謹慎編輯)'!F$173:F$182, 0)</f>
        <v>15</v>
      </c>
      <c r="G13" s="13">
        <f t="array" ref="G13">XLOOKUP($B12, '資料源(請謹慎編輯)'!$B$161:$B$170, '資料源(請謹慎編輯)'!G$173:G$182, 0)</f>
        <v>15</v>
      </c>
      <c r="H13" s="14">
        <f t="array" ref="H13">XLOOKUP($B12, '資料源(請謹慎編輯)'!$B$161:$B$170, '資料源(請謹慎編輯)'!H$173:H$182, 0)</f>
        <v>10</v>
      </c>
      <c r="I13" s="13">
        <f t="array" ref="I13">XLOOKUP($B12, '資料源(請謹慎編輯)'!$B$161:$B$170, '資料源(請謹慎編輯)'!I$173:I$182, 0)</f>
        <v>10</v>
      </c>
      <c r="J13" s="14">
        <f t="array" ref="J13">XLOOKUP($B12, '資料源(請謹慎編輯)'!$B$161:$B$170, '資料源(請謹慎編輯)'!J$173:J$182, 0)</f>
        <v>15</v>
      </c>
      <c r="K13" s="13">
        <f t="array" ref="K13">XLOOKUP($B12, '資料源(請謹慎編輯)'!$B$161:$B$170, '資料源(請謹慎編輯)'!K$173:K$182, 0)</f>
        <v>10</v>
      </c>
      <c r="L13" s="14">
        <f t="array" ref="L13">XLOOKUP($B12, '資料源(請謹慎編輯)'!$B$161:$B$170, '資料源(請謹慎編輯)'!L$173:L$182, 0)</f>
        <v>10</v>
      </c>
      <c r="M13" s="13">
        <f t="array" ref="M13">XLOOKUP($B12, '資料源(請謹慎編輯)'!$B$161:$B$170, '資料源(請謹慎編輯)'!M$173:M$182, 0)</f>
        <v>15</v>
      </c>
      <c r="N13" s="14">
        <f t="array" ref="N13">XLOOKUP($B12, '資料源(請謹慎編輯)'!$B$161:$B$170, '資料源(請謹慎編輯)'!N$173:N$182, 0)</f>
        <v>15</v>
      </c>
      <c r="O13" s="13">
        <f t="array" ref="O13">XLOOKUP($B12, '資料源(請謹慎編輯)'!$B$161:$B$170, '資料源(請謹慎編輯)'!O$173:O$182, 0)</f>
        <v>10</v>
      </c>
      <c r="P13" s="16">
        <f t="array" ref="P13">XLOOKUP($B12, '資料源(請謹慎編輯)'!$B$161:$B$170, '資料源(請謹慎編輯)'!P$173:P$182, 0)</f>
        <v>15</v>
      </c>
      <c r="Q13" s="15">
        <f t="array" ref="Q13">XLOOKUP($B12, '資料源(請謹慎編輯)'!$B$161:$B$170, '資料源(請謹慎編輯)'!Q$173:Q$182, 0)</f>
        <v>15</v>
      </c>
      <c r="R13" s="16">
        <f t="array" ref="R13">XLOOKUP($B12, '資料源(請謹慎編輯)'!$B$161:$B$170, '資料源(請謹慎編輯)'!R$173:R$182, 0)</f>
        <v>15</v>
      </c>
      <c r="S13" s="15">
        <f t="array" ref="S13">XLOOKUP($B12, '資料源(請謹慎編輯)'!$B$161:$B$170, '資料源(請謹慎編輯)'!S$173:S$182, 0)</f>
        <v>15</v>
      </c>
      <c r="T13" s="16">
        <f t="array" ref="T13">XLOOKUP($B12, '資料源(請謹慎編輯)'!$B$161:$B$170, '資料源(請謹慎編輯)'!T$173:T$182, 0)</f>
        <v>15</v>
      </c>
      <c r="U13" s="15">
        <f t="array" ref="U13">XLOOKUP($B12, '資料源(請謹慎編輯)'!$B$161:$B$170, '資料源(請謹慎編輯)'!U$173:U$182, 0)</f>
        <v>10</v>
      </c>
      <c r="V13" s="16">
        <f t="array" ref="V13">XLOOKUP($B12, '資料源(請謹慎編輯)'!$B$161:$B$170, '資料源(請謹慎編輯)'!V$173:V$182, 0)</f>
        <v>10</v>
      </c>
      <c r="W13" s="15">
        <f t="array" ref="W13">XLOOKUP($B12, '資料源(請謹慎編輯)'!$B$161:$B$170, '資料源(請謹慎編輯)'!W$173:W$182, 0)</f>
        <v>10</v>
      </c>
      <c r="X13" s="16">
        <f t="array" ref="X13">XLOOKUP($B12, '資料源(請謹慎編輯)'!$B$161:$B$170, '資料源(請謹慎編輯)'!X$173:X$182, 0)</f>
        <v>10</v>
      </c>
      <c r="Y13" s="15">
        <f t="array" ref="Y13">XLOOKUP($B12, '資料源(請謹慎編輯)'!$B$161:$B$170, '資料源(請謹慎編輯)'!Y$173:Y$182, 0)</f>
        <v>10</v>
      </c>
      <c r="Z13" s="19">
        <f t="array" ref="Z13">XLOOKUP($B12, '資料源(請謹慎編輯)'!$B$161:$B$170, '資料源(請謹慎編輯)'!Z$173:Z$182, 0)</f>
        <v>10</v>
      </c>
    </row>
    <row r="14" ht="18.75" customHeight="1">
      <c r="A14" s="20" t="s">
        <v>45</v>
      </c>
      <c r="B14" s="22"/>
      <c r="C14" s="15">
        <v>1.0</v>
      </c>
      <c r="D14" s="16">
        <v>1.0</v>
      </c>
      <c r="E14" s="15">
        <v>1.0</v>
      </c>
      <c r="F14" s="16">
        <v>1.0</v>
      </c>
      <c r="G14" s="15">
        <v>1.0</v>
      </c>
      <c r="H14" s="16">
        <v>1.0</v>
      </c>
      <c r="I14" s="15">
        <v>1.0</v>
      </c>
      <c r="J14" s="16">
        <v>2.0</v>
      </c>
      <c r="K14" s="15">
        <v>1.0</v>
      </c>
      <c r="L14" s="16">
        <v>1.0</v>
      </c>
      <c r="M14" s="15">
        <v>1.0</v>
      </c>
      <c r="N14" s="16">
        <v>2.0</v>
      </c>
      <c r="O14" s="23">
        <v>1.0</v>
      </c>
      <c r="P14" s="5">
        <v>1.0</v>
      </c>
      <c r="Q14" s="24">
        <v>1.0</v>
      </c>
      <c r="R14" s="5">
        <v>1.0</v>
      </c>
      <c r="S14" s="24">
        <v>1.0</v>
      </c>
      <c r="T14" s="5">
        <v>1.0</v>
      </c>
      <c r="U14" s="24"/>
      <c r="V14" s="5"/>
      <c r="W14" s="25">
        <v>1.0</v>
      </c>
      <c r="X14" s="10">
        <v>1.0</v>
      </c>
      <c r="Y14" s="9">
        <v>1.0</v>
      </c>
      <c r="Z14" s="26">
        <v>1.0</v>
      </c>
    </row>
    <row r="15" ht="18.75" customHeight="1">
      <c r="A15" s="27" t="s">
        <v>46</v>
      </c>
      <c r="B15" s="28"/>
      <c r="C15" s="29">
        <f t="shared" ref="C15:Z15" si="1">SUM(C2:C14)</f>
        <v>25</v>
      </c>
      <c r="D15" s="29">
        <f t="shared" si="1"/>
        <v>25</v>
      </c>
      <c r="E15" s="29">
        <f t="shared" si="1"/>
        <v>26</v>
      </c>
      <c r="F15" s="29">
        <f t="shared" si="1"/>
        <v>25</v>
      </c>
      <c r="G15" s="29">
        <f t="shared" si="1"/>
        <v>23</v>
      </c>
      <c r="H15" s="29">
        <f t="shared" si="1"/>
        <v>19</v>
      </c>
      <c r="I15" s="29">
        <f t="shared" si="1"/>
        <v>13</v>
      </c>
      <c r="J15" s="29">
        <f t="shared" si="1"/>
        <v>19</v>
      </c>
      <c r="K15" s="29">
        <f t="shared" si="1"/>
        <v>11</v>
      </c>
      <c r="L15" s="29">
        <f t="shared" si="1"/>
        <v>11</v>
      </c>
      <c r="M15" s="29">
        <f t="shared" si="1"/>
        <v>16</v>
      </c>
      <c r="N15" s="29">
        <f t="shared" si="1"/>
        <v>17</v>
      </c>
      <c r="O15" s="29">
        <f t="shared" si="1"/>
        <v>11</v>
      </c>
      <c r="P15" s="29">
        <f t="shared" si="1"/>
        <v>17</v>
      </c>
      <c r="Q15" s="29">
        <f t="shared" si="1"/>
        <v>16</v>
      </c>
      <c r="R15" s="29">
        <f t="shared" si="1"/>
        <v>17</v>
      </c>
      <c r="S15" s="29">
        <f t="shared" si="1"/>
        <v>16</v>
      </c>
      <c r="T15" s="29">
        <f t="shared" si="1"/>
        <v>16</v>
      </c>
      <c r="U15" s="29">
        <f t="shared" si="1"/>
        <v>10</v>
      </c>
      <c r="V15" s="29">
        <f t="shared" si="1"/>
        <v>10</v>
      </c>
      <c r="W15" s="29">
        <f t="shared" si="1"/>
        <v>11</v>
      </c>
      <c r="X15" s="29">
        <f t="shared" si="1"/>
        <v>11</v>
      </c>
      <c r="Y15" s="29">
        <f t="shared" si="1"/>
        <v>11</v>
      </c>
      <c r="Z15" s="29">
        <f t="shared" si="1"/>
        <v>11</v>
      </c>
    </row>
    <row r="16" ht="18.75" customHeight="1">
      <c r="A16" s="5"/>
      <c r="B16" s="30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8.75" customHeight="1">
      <c r="A17" s="5"/>
      <c r="B17" s="30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8.75" customHeight="1">
      <c r="A18" s="5"/>
      <c r="B18" s="30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R18" s="5"/>
      <c r="S18" s="5"/>
      <c r="T18" s="5"/>
      <c r="U18" s="5"/>
      <c r="V18" s="5"/>
      <c r="W18" s="5"/>
      <c r="X18" s="5"/>
      <c r="Y18" s="5"/>
      <c r="Z18" s="5"/>
    </row>
    <row r="19" ht="18.75" customHeight="1">
      <c r="A19" s="5"/>
      <c r="B19" s="30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8.75" customHeight="1">
      <c r="A20" s="5"/>
      <c r="B20" s="30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8.75" customHeight="1">
      <c r="A21" s="5"/>
      <c r="B21" s="30"/>
      <c r="C21" s="5"/>
      <c r="D21" s="5"/>
      <c r="E21" s="5"/>
      <c r="F21" s="5"/>
      <c r="G21" s="5"/>
      <c r="H21" s="5"/>
      <c r="I21" s="5"/>
      <c r="J21" s="5"/>
      <c r="K21" s="31" t="s">
        <v>47</v>
      </c>
      <c r="L21" s="32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8.75" customHeight="1">
      <c r="A22" s="5"/>
      <c r="B22" s="30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8.75" customHeight="1">
      <c r="A23" s="5"/>
      <c r="B23" s="30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8.75" customHeight="1">
      <c r="A24" s="5"/>
      <c r="B24" s="30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8.75" customHeight="1">
      <c r="A25" s="5"/>
      <c r="B25" s="30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8.75" customHeight="1">
      <c r="A26" s="5"/>
      <c r="B26" s="30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8.75" customHeight="1">
      <c r="A27" s="5"/>
      <c r="B27" s="30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8.75" customHeight="1">
      <c r="A28" s="5"/>
      <c r="B28" s="30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33"/>
      <c r="Y28" s="5"/>
      <c r="Z28" s="5"/>
    </row>
    <row r="29" ht="18.75" customHeight="1">
      <c r="A29" s="5"/>
      <c r="B29" s="30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8.75" customHeight="1">
      <c r="A30" s="5"/>
      <c r="B30" s="30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8.75" customHeight="1">
      <c r="A31" s="5"/>
      <c r="B31" s="30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8.75" customHeight="1">
      <c r="A32" s="5"/>
      <c r="B32" s="30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8.75" customHeight="1">
      <c r="A33" s="5"/>
      <c r="B33" s="30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8.75" customHeight="1">
      <c r="A34" s="5"/>
      <c r="B34" s="30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8.75" customHeight="1">
      <c r="A35" s="5"/>
      <c r="B35" s="30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8.75" customHeight="1">
      <c r="A36" s="5"/>
      <c r="B36" s="30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8.75" customHeight="1">
      <c r="A37" s="5"/>
      <c r="B37" s="30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8.75" customHeight="1">
      <c r="A38" s="5"/>
      <c r="B38" s="30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8.75" customHeight="1">
      <c r="A39" s="5"/>
      <c r="B39" s="30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8.75" customHeight="1">
      <c r="A40" s="5"/>
      <c r="B40" s="30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8.75" customHeight="1">
      <c r="A41" s="5"/>
      <c r="B41" s="30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8.75" customHeight="1">
      <c r="A42" s="5"/>
      <c r="B42" s="30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8.75" customHeight="1">
      <c r="A43" s="5"/>
      <c r="B43" s="30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8.75" customHeight="1">
      <c r="A44" s="5"/>
      <c r="B44" s="30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8.75" customHeight="1">
      <c r="A45" s="5"/>
      <c r="B45" s="30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8.75" customHeight="1">
      <c r="A46" s="5"/>
      <c r="B46" s="30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8.75" customHeight="1">
      <c r="A47" s="5"/>
      <c r="B47" s="30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8.75" customHeight="1">
      <c r="A48" s="5"/>
      <c r="B48" s="30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8.75" customHeight="1">
      <c r="A49" s="5"/>
      <c r="B49" s="30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8.75" customHeight="1">
      <c r="A50" s="5"/>
      <c r="B50" s="30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8.75" customHeight="1">
      <c r="A51" s="5"/>
      <c r="B51" s="30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8.75" customHeight="1">
      <c r="A52" s="5"/>
      <c r="B52" s="30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8.75" customHeight="1">
      <c r="A53" s="5"/>
      <c r="B53" s="30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8.75" customHeight="1">
      <c r="A54" s="5"/>
      <c r="B54" s="30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8.75" customHeight="1">
      <c r="A55" s="5"/>
      <c r="B55" s="30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8.75" customHeight="1">
      <c r="A56" s="5"/>
      <c r="B56" s="30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8.75" customHeight="1">
      <c r="A57" s="5"/>
      <c r="B57" s="30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8.75" customHeight="1">
      <c r="A58" s="5"/>
      <c r="B58" s="30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8.75" customHeight="1">
      <c r="A59" s="5"/>
      <c r="B59" s="30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8.75" customHeight="1">
      <c r="A60" s="5"/>
      <c r="B60" s="30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8.75" customHeight="1">
      <c r="A61" s="5"/>
      <c r="B61" s="30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8.75" customHeight="1">
      <c r="A62" s="5"/>
      <c r="B62" s="30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8.75" customHeight="1">
      <c r="A63" s="5"/>
      <c r="B63" s="30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8.75" customHeight="1">
      <c r="A64" s="5"/>
      <c r="B64" s="30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8.75" customHeight="1">
      <c r="A65" s="5"/>
      <c r="B65" s="30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8.75" customHeight="1">
      <c r="A66" s="5"/>
      <c r="B66" s="30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8.75" customHeight="1">
      <c r="A67" s="5"/>
      <c r="B67" s="30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8.75" customHeight="1">
      <c r="A68" s="5"/>
      <c r="B68" s="30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8.75" customHeight="1">
      <c r="A69" s="5"/>
      <c r="B69" s="30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8.75" customHeight="1">
      <c r="A70" s="5"/>
      <c r="B70" s="30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8.75" customHeight="1">
      <c r="A71" s="5"/>
      <c r="B71" s="30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8.75" customHeight="1">
      <c r="A72" s="5"/>
      <c r="B72" s="30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8.75" customHeight="1">
      <c r="A73" s="5"/>
      <c r="B73" s="30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8.75" customHeight="1">
      <c r="A74" s="5"/>
      <c r="B74" s="30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8.75" customHeight="1">
      <c r="A75" s="5"/>
      <c r="B75" s="30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8.75" customHeight="1">
      <c r="A76" s="5"/>
      <c r="B76" s="30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8.75" customHeight="1">
      <c r="A77" s="5"/>
      <c r="B77" s="30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8.75" customHeight="1">
      <c r="A78" s="5"/>
      <c r="B78" s="30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8.75" customHeight="1">
      <c r="A79" s="5"/>
      <c r="B79" s="30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8.75" customHeight="1">
      <c r="A80" s="5"/>
      <c r="B80" s="30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8.75" customHeight="1">
      <c r="A81" s="5"/>
      <c r="B81" s="30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8.75" customHeight="1">
      <c r="A82" s="5"/>
      <c r="B82" s="30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8.75" customHeight="1">
      <c r="A83" s="5"/>
      <c r="B83" s="30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8.75" customHeight="1">
      <c r="A84" s="5"/>
      <c r="B84" s="30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8.75" customHeight="1">
      <c r="A85" s="5"/>
      <c r="B85" s="30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8.75" customHeight="1">
      <c r="A86" s="5"/>
      <c r="B86" s="30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8.75" customHeight="1">
      <c r="A87" s="5"/>
      <c r="B87" s="30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8.75" customHeight="1">
      <c r="A88" s="5"/>
      <c r="B88" s="30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8.75" customHeight="1">
      <c r="A89" s="5"/>
      <c r="B89" s="30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8.75" customHeight="1">
      <c r="A90" s="5"/>
      <c r="B90" s="30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8.75" customHeight="1">
      <c r="A91" s="5"/>
      <c r="B91" s="30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8.75" customHeight="1">
      <c r="A92" s="5"/>
      <c r="B92" s="30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8.75" customHeight="1">
      <c r="A93" s="5"/>
      <c r="B93" s="30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8.75" customHeight="1">
      <c r="A94" s="5"/>
      <c r="B94" s="30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8.75" customHeight="1">
      <c r="A95" s="5"/>
      <c r="B95" s="30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8.75" customHeight="1">
      <c r="A96" s="5"/>
      <c r="B96" s="30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8.75" customHeight="1">
      <c r="A97" s="5"/>
      <c r="B97" s="30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8.75" customHeight="1">
      <c r="A98" s="5"/>
      <c r="B98" s="30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8.75" customHeight="1">
      <c r="A99" s="5"/>
      <c r="B99" s="30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8.75" customHeight="1">
      <c r="A100" s="5"/>
      <c r="B100" s="30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8.75" customHeight="1">
      <c r="A101" s="5"/>
      <c r="B101" s="30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8.75" customHeight="1">
      <c r="A102" s="5"/>
      <c r="B102" s="30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8.75" customHeight="1">
      <c r="A103" s="5"/>
      <c r="B103" s="30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8.75" customHeight="1">
      <c r="A104" s="5"/>
      <c r="B104" s="30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8.75" customHeight="1">
      <c r="A105" s="5"/>
      <c r="B105" s="30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8.75" customHeight="1">
      <c r="A106" s="5"/>
      <c r="B106" s="30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8.75" customHeight="1">
      <c r="A107" s="5"/>
      <c r="B107" s="30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8.75" customHeight="1">
      <c r="A108" s="5"/>
      <c r="B108" s="30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8.75" customHeight="1">
      <c r="A109" s="5"/>
      <c r="B109" s="30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8.75" customHeight="1">
      <c r="A110" s="5"/>
      <c r="B110" s="30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8.75" customHeight="1">
      <c r="A111" s="5"/>
      <c r="B111" s="30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8.75" customHeight="1">
      <c r="A112" s="5"/>
      <c r="B112" s="30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8.75" customHeight="1">
      <c r="A113" s="5"/>
      <c r="B113" s="30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8.75" customHeight="1">
      <c r="A114" s="5"/>
      <c r="B114" s="30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8.75" customHeight="1">
      <c r="A115" s="5"/>
      <c r="B115" s="30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8.75" customHeight="1">
      <c r="A116" s="5"/>
      <c r="B116" s="30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8.75" customHeight="1">
      <c r="A117" s="5"/>
      <c r="B117" s="30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8.75" customHeight="1">
      <c r="A118" s="5"/>
      <c r="B118" s="30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8.75" customHeight="1">
      <c r="A119" s="5"/>
      <c r="B119" s="30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8.75" customHeight="1">
      <c r="A120" s="5"/>
      <c r="B120" s="30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8.75" customHeight="1">
      <c r="A121" s="5"/>
      <c r="B121" s="30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8.75" customHeight="1">
      <c r="A122" s="5"/>
      <c r="B122" s="30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8.75" customHeight="1">
      <c r="A123" s="5"/>
      <c r="B123" s="30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8.75" customHeight="1">
      <c r="A124" s="5"/>
      <c r="B124" s="30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8.75" customHeight="1">
      <c r="A125" s="5"/>
      <c r="B125" s="30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8.75" customHeight="1">
      <c r="A126" s="5"/>
      <c r="B126" s="30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8.75" customHeight="1">
      <c r="A127" s="5"/>
      <c r="B127" s="30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8.75" customHeight="1">
      <c r="A128" s="5"/>
      <c r="B128" s="30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8.75" customHeight="1">
      <c r="A129" s="5"/>
      <c r="B129" s="30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8.75" customHeight="1">
      <c r="A130" s="5"/>
      <c r="B130" s="30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8.75" customHeight="1">
      <c r="A131" s="5"/>
      <c r="B131" s="30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8.75" customHeight="1">
      <c r="A132" s="5"/>
      <c r="B132" s="30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8.75" customHeight="1">
      <c r="A133" s="5"/>
      <c r="B133" s="30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8.75" customHeight="1">
      <c r="A134" s="5"/>
      <c r="B134" s="30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8.75" customHeight="1">
      <c r="A135" s="5"/>
      <c r="B135" s="30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8.75" customHeight="1">
      <c r="A136" s="5"/>
      <c r="B136" s="30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8.75" customHeight="1">
      <c r="A137" s="5"/>
      <c r="B137" s="30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8.75" customHeight="1">
      <c r="A138" s="5"/>
      <c r="B138" s="30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8.75" customHeight="1">
      <c r="A139" s="5"/>
      <c r="B139" s="30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8.75" customHeight="1">
      <c r="A140" s="5"/>
      <c r="B140" s="30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8.75" customHeight="1">
      <c r="A141" s="5"/>
      <c r="B141" s="30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8.75" customHeight="1">
      <c r="A142" s="5"/>
      <c r="B142" s="30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8.75" customHeight="1">
      <c r="A143" s="5"/>
      <c r="B143" s="30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8.75" customHeight="1">
      <c r="A144" s="5"/>
      <c r="B144" s="30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8.75" customHeight="1">
      <c r="A145" s="5"/>
      <c r="B145" s="30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8.75" customHeight="1">
      <c r="A146" s="5"/>
      <c r="B146" s="30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8.75" customHeight="1">
      <c r="A147" s="5"/>
      <c r="B147" s="30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8.75" customHeight="1">
      <c r="A148" s="5"/>
      <c r="B148" s="30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8.75" customHeight="1">
      <c r="A149" s="5"/>
      <c r="B149" s="30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8.75" customHeight="1">
      <c r="A150" s="5"/>
      <c r="B150" s="30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8.75" customHeight="1">
      <c r="A151" s="5"/>
      <c r="B151" s="30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8.75" customHeight="1">
      <c r="A152" s="5"/>
      <c r="B152" s="30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8.75" customHeight="1">
      <c r="A153" s="5"/>
      <c r="B153" s="30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8.75" customHeight="1">
      <c r="A154" s="5"/>
      <c r="B154" s="30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8.75" customHeight="1">
      <c r="A155" s="5"/>
      <c r="B155" s="30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8.75" customHeight="1">
      <c r="A156" s="5"/>
      <c r="B156" s="30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8.75" customHeight="1">
      <c r="A157" s="5"/>
      <c r="B157" s="30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8.75" customHeight="1">
      <c r="A158" s="5"/>
      <c r="B158" s="30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8.75" customHeight="1">
      <c r="A159" s="5"/>
      <c r="B159" s="30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8.75" customHeight="1">
      <c r="A160" s="5"/>
      <c r="B160" s="30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8.75" customHeight="1">
      <c r="A161" s="5"/>
      <c r="B161" s="30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8.75" customHeight="1">
      <c r="A162" s="5"/>
      <c r="B162" s="30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8.75" customHeight="1">
      <c r="A163" s="5"/>
      <c r="B163" s="30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8.75" customHeight="1">
      <c r="A164" s="5"/>
      <c r="B164" s="30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8.75" customHeight="1">
      <c r="A165" s="5"/>
      <c r="B165" s="30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8.75" customHeight="1">
      <c r="A166" s="5"/>
      <c r="B166" s="30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8.75" customHeight="1">
      <c r="A167" s="5"/>
      <c r="B167" s="30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8.75" customHeight="1">
      <c r="A168" s="5"/>
      <c r="B168" s="30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8.75" customHeight="1">
      <c r="A169" s="5"/>
      <c r="B169" s="30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8.75" customHeight="1">
      <c r="A170" s="5"/>
      <c r="B170" s="30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8.75" customHeight="1">
      <c r="A171" s="5"/>
      <c r="B171" s="30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8.75" customHeight="1">
      <c r="A172" s="5"/>
      <c r="B172" s="30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8.75" customHeight="1">
      <c r="A173" s="5"/>
      <c r="B173" s="30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8.75" customHeight="1">
      <c r="A174" s="5"/>
      <c r="B174" s="30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8.75" customHeight="1">
      <c r="A175" s="5"/>
      <c r="B175" s="30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8.75" customHeight="1">
      <c r="A176" s="5"/>
      <c r="B176" s="30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8.75" customHeight="1">
      <c r="A177" s="5"/>
      <c r="B177" s="30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8.75" customHeight="1">
      <c r="A178" s="5"/>
      <c r="B178" s="30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8.75" customHeight="1">
      <c r="A179" s="5"/>
      <c r="B179" s="30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8.75" customHeight="1">
      <c r="A180" s="5"/>
      <c r="B180" s="30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8.75" customHeight="1">
      <c r="A181" s="5"/>
      <c r="B181" s="30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8.75" customHeight="1">
      <c r="A182" s="5"/>
      <c r="B182" s="30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8.75" customHeight="1">
      <c r="A183" s="5"/>
      <c r="B183" s="30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8.75" customHeight="1">
      <c r="A184" s="5"/>
      <c r="B184" s="30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8.75" customHeight="1">
      <c r="A185" s="5"/>
      <c r="B185" s="30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8.75" customHeight="1">
      <c r="A186" s="5"/>
      <c r="B186" s="30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8.75" customHeight="1">
      <c r="A187" s="5"/>
      <c r="B187" s="30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8.75" customHeight="1">
      <c r="A188" s="5"/>
      <c r="B188" s="30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8.75" customHeight="1">
      <c r="A189" s="5"/>
      <c r="B189" s="30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8.75" customHeight="1">
      <c r="A190" s="5"/>
      <c r="B190" s="30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8.75" customHeight="1">
      <c r="A191" s="5"/>
      <c r="B191" s="30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8.75" customHeight="1">
      <c r="A192" s="5"/>
      <c r="B192" s="30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8.75" customHeight="1">
      <c r="A193" s="5"/>
      <c r="B193" s="30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8.75" customHeight="1">
      <c r="A194" s="5"/>
      <c r="B194" s="30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8.75" customHeight="1">
      <c r="A195" s="5"/>
      <c r="B195" s="30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8.75" customHeight="1">
      <c r="A196" s="5"/>
      <c r="B196" s="30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8.75" customHeight="1">
      <c r="A197" s="5"/>
      <c r="B197" s="30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8.75" customHeight="1">
      <c r="A198" s="5"/>
      <c r="B198" s="30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8.75" customHeight="1">
      <c r="A199" s="5"/>
      <c r="B199" s="30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8.75" customHeight="1">
      <c r="A200" s="5"/>
      <c r="B200" s="30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8.75" customHeight="1">
      <c r="A201" s="5"/>
      <c r="B201" s="30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8.75" customHeight="1">
      <c r="A202" s="5"/>
      <c r="B202" s="30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8.75" customHeight="1">
      <c r="A203" s="5"/>
      <c r="B203" s="30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8.75" customHeight="1">
      <c r="A204" s="5"/>
      <c r="B204" s="30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8.75" customHeight="1">
      <c r="A205" s="5"/>
      <c r="B205" s="30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8.75" customHeight="1">
      <c r="A206" s="5"/>
      <c r="B206" s="30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8.75" customHeight="1">
      <c r="A207" s="5"/>
      <c r="B207" s="30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8.75" customHeight="1">
      <c r="A208" s="5"/>
      <c r="B208" s="30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8.75" customHeight="1">
      <c r="A209" s="5"/>
      <c r="B209" s="30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8.75" customHeight="1">
      <c r="A210" s="5"/>
      <c r="B210" s="30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8.75" customHeight="1">
      <c r="A211" s="5"/>
      <c r="B211" s="30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8.75" customHeight="1">
      <c r="A212" s="5"/>
      <c r="B212" s="30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8.75" customHeight="1">
      <c r="A213" s="5"/>
      <c r="B213" s="30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8.75" customHeight="1">
      <c r="A214" s="5"/>
      <c r="B214" s="30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8.75" customHeight="1">
      <c r="A215" s="5"/>
      <c r="B215" s="30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8.75" customHeight="1">
      <c r="A216" s="5"/>
      <c r="B216" s="30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8.75" customHeight="1">
      <c r="A217" s="5"/>
      <c r="B217" s="30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8.75" customHeight="1">
      <c r="A218" s="5"/>
      <c r="B218" s="30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8.75" customHeight="1">
      <c r="A219" s="5"/>
      <c r="B219" s="30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8.75" customHeight="1">
      <c r="A220" s="5"/>
      <c r="B220" s="30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8.75" customHeight="1">
      <c r="A221" s="5"/>
      <c r="B221" s="30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8.75" customHeight="1">
      <c r="A222" s="5"/>
      <c r="B222" s="30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8.75" customHeight="1">
      <c r="A223" s="5"/>
      <c r="B223" s="30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8.75" customHeight="1">
      <c r="A224" s="5"/>
      <c r="B224" s="30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8.75" customHeight="1">
      <c r="A225" s="5"/>
      <c r="B225" s="30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8.75" customHeight="1">
      <c r="A226" s="5"/>
      <c r="B226" s="30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8.75" customHeight="1">
      <c r="A227" s="5"/>
      <c r="B227" s="30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8.75" customHeight="1">
      <c r="A228" s="5"/>
      <c r="B228" s="30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8.75" customHeight="1">
      <c r="A229" s="5"/>
      <c r="B229" s="30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8.75" customHeight="1">
      <c r="A230" s="5"/>
      <c r="B230" s="30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8.75" customHeight="1">
      <c r="A231" s="5"/>
      <c r="B231" s="30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8.75" customHeight="1">
      <c r="A232" s="5"/>
      <c r="B232" s="30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8.75" customHeight="1">
      <c r="A233" s="5"/>
      <c r="B233" s="30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8.75" customHeight="1">
      <c r="A234" s="5"/>
      <c r="B234" s="30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8.75" customHeight="1">
      <c r="A235" s="5"/>
      <c r="B235" s="30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8.75" customHeight="1">
      <c r="A236" s="5"/>
      <c r="B236" s="30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8.75" customHeight="1">
      <c r="A237" s="5"/>
      <c r="B237" s="30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8.75" customHeight="1">
      <c r="A238" s="5"/>
      <c r="B238" s="30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8.75" customHeight="1">
      <c r="A239" s="5"/>
      <c r="B239" s="30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8.75" customHeight="1">
      <c r="A240" s="5"/>
      <c r="B240" s="30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8.75" customHeight="1">
      <c r="A241" s="5"/>
      <c r="B241" s="30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8.75" customHeight="1">
      <c r="A242" s="5"/>
      <c r="B242" s="30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8.75" customHeight="1">
      <c r="A243" s="5"/>
      <c r="B243" s="30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8.75" customHeight="1">
      <c r="A244" s="5"/>
      <c r="B244" s="30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8.75" customHeight="1">
      <c r="A245" s="5"/>
      <c r="B245" s="30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8.75" customHeight="1">
      <c r="A246" s="5"/>
      <c r="B246" s="30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8.75" customHeight="1">
      <c r="A247" s="5"/>
      <c r="B247" s="30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8.75" customHeight="1">
      <c r="A248" s="5"/>
      <c r="B248" s="30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8.75" customHeight="1">
      <c r="A249" s="5"/>
      <c r="B249" s="30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8.75" customHeight="1">
      <c r="A250" s="5"/>
      <c r="B250" s="30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8.75" customHeight="1">
      <c r="A251" s="5"/>
      <c r="B251" s="30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8.75" customHeight="1">
      <c r="A252" s="5"/>
      <c r="B252" s="30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8.75" customHeight="1">
      <c r="A253" s="5"/>
      <c r="B253" s="30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8.75" customHeight="1">
      <c r="A254" s="5"/>
      <c r="B254" s="30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8.75" customHeight="1">
      <c r="A255" s="5"/>
      <c r="B255" s="30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8.75" customHeight="1">
      <c r="A256" s="5"/>
      <c r="B256" s="30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8.75" customHeight="1">
      <c r="A257" s="5"/>
      <c r="B257" s="30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8.75" customHeight="1">
      <c r="A258" s="5"/>
      <c r="B258" s="30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8.75" customHeight="1">
      <c r="A259" s="5"/>
      <c r="B259" s="30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8.75" customHeight="1">
      <c r="A260" s="5"/>
      <c r="B260" s="30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8.75" customHeight="1">
      <c r="A261" s="5"/>
      <c r="B261" s="30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8.75" customHeight="1">
      <c r="A262" s="5"/>
      <c r="B262" s="30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8.75" customHeight="1">
      <c r="A263" s="5"/>
      <c r="B263" s="30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8.75" customHeight="1">
      <c r="A264" s="5"/>
      <c r="B264" s="30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8.75" customHeight="1">
      <c r="A265" s="5"/>
      <c r="B265" s="30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8.75" customHeight="1">
      <c r="A266" s="5"/>
      <c r="B266" s="30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8.75" customHeight="1">
      <c r="A267" s="5"/>
      <c r="B267" s="30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8.75" customHeight="1">
      <c r="A268" s="5"/>
      <c r="B268" s="30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8.75" customHeight="1">
      <c r="A269" s="5"/>
      <c r="B269" s="30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8.75" customHeight="1">
      <c r="A270" s="5"/>
      <c r="B270" s="30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8.75" customHeight="1">
      <c r="A271" s="5"/>
      <c r="B271" s="30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8.75" customHeight="1">
      <c r="A272" s="5"/>
      <c r="B272" s="30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8.75" customHeight="1">
      <c r="A273" s="5"/>
      <c r="B273" s="30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8.75" customHeight="1">
      <c r="A274" s="5"/>
      <c r="B274" s="30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8.75" customHeight="1">
      <c r="A275" s="5"/>
      <c r="B275" s="30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8.75" customHeight="1">
      <c r="A276" s="5"/>
      <c r="B276" s="30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8.75" customHeight="1">
      <c r="A277" s="5"/>
      <c r="B277" s="30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8.75" customHeight="1">
      <c r="A278" s="5"/>
      <c r="B278" s="30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8.75" customHeight="1">
      <c r="A279" s="5"/>
      <c r="B279" s="30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8.75" customHeight="1">
      <c r="A280" s="5"/>
      <c r="B280" s="30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8.75" customHeight="1">
      <c r="A281" s="5"/>
      <c r="B281" s="30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8.75" customHeight="1">
      <c r="A282" s="5"/>
      <c r="B282" s="30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8.75" customHeight="1">
      <c r="A283" s="5"/>
      <c r="B283" s="30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8.75" customHeight="1">
      <c r="A284" s="5"/>
      <c r="B284" s="30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8.75" customHeight="1">
      <c r="A285" s="5"/>
      <c r="B285" s="30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8.75" customHeight="1">
      <c r="A286" s="5"/>
      <c r="B286" s="30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8.75" customHeight="1">
      <c r="A287" s="5"/>
      <c r="B287" s="30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8.75" customHeight="1">
      <c r="A288" s="5"/>
      <c r="B288" s="30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8.75" customHeight="1">
      <c r="A289" s="5"/>
      <c r="B289" s="30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8.75" customHeight="1">
      <c r="A290" s="5"/>
      <c r="B290" s="30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8.75" customHeight="1">
      <c r="A291" s="5"/>
      <c r="B291" s="30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8.75" customHeight="1">
      <c r="A292" s="5"/>
      <c r="B292" s="30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8.75" customHeight="1">
      <c r="A293" s="5"/>
      <c r="B293" s="30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8.75" customHeight="1">
      <c r="A294" s="5"/>
      <c r="B294" s="30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8.75" customHeight="1">
      <c r="A295" s="5"/>
      <c r="B295" s="30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8.75" customHeight="1">
      <c r="A296" s="5"/>
      <c r="B296" s="30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8.75" customHeight="1">
      <c r="A297" s="5"/>
      <c r="B297" s="30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8.75" customHeight="1">
      <c r="A298" s="5"/>
      <c r="B298" s="30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8.75" customHeight="1">
      <c r="A299" s="5"/>
      <c r="B299" s="30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8.75" customHeight="1">
      <c r="A300" s="5"/>
      <c r="B300" s="30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8.75" customHeight="1">
      <c r="A301" s="5"/>
      <c r="B301" s="30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8.75" customHeight="1">
      <c r="A302" s="5"/>
      <c r="B302" s="30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8.75" customHeight="1">
      <c r="A303" s="5"/>
      <c r="B303" s="30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8.75" customHeight="1">
      <c r="A304" s="5"/>
      <c r="B304" s="30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8.75" customHeight="1">
      <c r="A305" s="5"/>
      <c r="B305" s="30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8.75" customHeight="1">
      <c r="A306" s="5"/>
      <c r="B306" s="30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8.75" customHeight="1">
      <c r="A307" s="5"/>
      <c r="B307" s="30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8.75" customHeight="1">
      <c r="A308" s="5"/>
      <c r="B308" s="30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8.75" customHeight="1">
      <c r="A309" s="5"/>
      <c r="B309" s="30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8.75" customHeight="1">
      <c r="A310" s="5"/>
      <c r="B310" s="30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8.75" customHeight="1">
      <c r="A311" s="5"/>
      <c r="B311" s="30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8.75" customHeight="1">
      <c r="A312" s="5"/>
      <c r="B312" s="30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8.75" customHeight="1">
      <c r="A313" s="5"/>
      <c r="B313" s="30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8.75" customHeight="1">
      <c r="A314" s="5"/>
      <c r="B314" s="30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8.75" customHeight="1">
      <c r="A315" s="5"/>
      <c r="B315" s="30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8.75" customHeight="1">
      <c r="A316" s="5"/>
      <c r="B316" s="30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8.75" customHeight="1">
      <c r="A317" s="5"/>
      <c r="B317" s="30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8.75" customHeight="1">
      <c r="A318" s="5"/>
      <c r="B318" s="30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8.75" customHeight="1">
      <c r="A319" s="5"/>
      <c r="B319" s="30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8.75" customHeight="1">
      <c r="A320" s="5"/>
      <c r="B320" s="30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8.75" customHeight="1">
      <c r="A321" s="5"/>
      <c r="B321" s="30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8.75" customHeight="1">
      <c r="A322" s="5"/>
      <c r="B322" s="30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8.75" customHeight="1">
      <c r="A323" s="5"/>
      <c r="B323" s="30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8.75" customHeight="1">
      <c r="A324" s="5"/>
      <c r="B324" s="30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8.75" customHeight="1">
      <c r="A325" s="5"/>
      <c r="B325" s="30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8.75" customHeight="1">
      <c r="A326" s="5"/>
      <c r="B326" s="30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8.75" customHeight="1">
      <c r="A327" s="5"/>
      <c r="B327" s="30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8.75" customHeight="1">
      <c r="A328" s="5"/>
      <c r="B328" s="30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8.75" customHeight="1">
      <c r="A329" s="5"/>
      <c r="B329" s="30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8.75" customHeight="1">
      <c r="A330" s="5"/>
      <c r="B330" s="30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8.75" customHeight="1">
      <c r="A331" s="5"/>
      <c r="B331" s="30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8.75" customHeight="1">
      <c r="A332" s="5"/>
      <c r="B332" s="30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8.75" customHeight="1">
      <c r="A333" s="5"/>
      <c r="B333" s="30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8.75" customHeight="1">
      <c r="A334" s="5"/>
      <c r="B334" s="30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8.75" customHeight="1">
      <c r="A335" s="5"/>
      <c r="B335" s="30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8.75" customHeight="1">
      <c r="A336" s="5"/>
      <c r="B336" s="30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8.75" customHeight="1">
      <c r="A337" s="5"/>
      <c r="B337" s="30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8.75" customHeight="1">
      <c r="A338" s="5"/>
      <c r="B338" s="30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8.75" customHeight="1">
      <c r="A339" s="5"/>
      <c r="B339" s="30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8.75" customHeight="1">
      <c r="A340" s="5"/>
      <c r="B340" s="30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8.75" customHeight="1">
      <c r="A341" s="5"/>
      <c r="B341" s="30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8.75" customHeight="1">
      <c r="A342" s="5"/>
      <c r="B342" s="30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8.75" customHeight="1">
      <c r="A343" s="5"/>
      <c r="B343" s="30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8.75" customHeight="1">
      <c r="A344" s="5"/>
      <c r="B344" s="30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8.75" customHeight="1">
      <c r="A345" s="5"/>
      <c r="B345" s="30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8.75" customHeight="1">
      <c r="A346" s="5"/>
      <c r="B346" s="30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8.75" customHeight="1">
      <c r="A347" s="5"/>
      <c r="B347" s="30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8.75" customHeight="1">
      <c r="A348" s="5"/>
      <c r="B348" s="30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8.75" customHeight="1">
      <c r="A349" s="5"/>
      <c r="B349" s="30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8.75" customHeight="1">
      <c r="A350" s="5"/>
      <c r="B350" s="30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8.75" customHeight="1">
      <c r="A351" s="5"/>
      <c r="B351" s="30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8.75" customHeight="1">
      <c r="A352" s="5"/>
      <c r="B352" s="30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8.75" customHeight="1">
      <c r="A353" s="5"/>
      <c r="B353" s="30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8.75" customHeight="1">
      <c r="A354" s="5"/>
      <c r="B354" s="30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8.75" customHeight="1">
      <c r="A355" s="5"/>
      <c r="B355" s="30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8.75" customHeight="1">
      <c r="A356" s="5"/>
      <c r="B356" s="30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8.75" customHeight="1">
      <c r="A357" s="5"/>
      <c r="B357" s="30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8.75" customHeight="1">
      <c r="A358" s="5"/>
      <c r="B358" s="30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8.75" customHeight="1">
      <c r="A359" s="5"/>
      <c r="B359" s="30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8.75" customHeight="1">
      <c r="A360" s="5"/>
      <c r="B360" s="30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8.75" customHeight="1">
      <c r="A361" s="5"/>
      <c r="B361" s="30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8.75" customHeight="1">
      <c r="A362" s="5"/>
      <c r="B362" s="30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8.75" customHeight="1">
      <c r="A363" s="5"/>
      <c r="B363" s="30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8.75" customHeight="1">
      <c r="A364" s="5"/>
      <c r="B364" s="30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8.75" customHeight="1">
      <c r="A365" s="5"/>
      <c r="B365" s="30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8.75" customHeight="1">
      <c r="A366" s="5"/>
      <c r="B366" s="30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8.75" customHeight="1">
      <c r="A367" s="5"/>
      <c r="B367" s="30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8.75" customHeight="1">
      <c r="A368" s="5"/>
      <c r="B368" s="30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8.75" customHeight="1">
      <c r="A369" s="5"/>
      <c r="B369" s="30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8.75" customHeight="1">
      <c r="A370" s="5"/>
      <c r="B370" s="30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8.75" customHeight="1">
      <c r="A371" s="5"/>
      <c r="B371" s="30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8.75" customHeight="1">
      <c r="A372" s="5"/>
      <c r="B372" s="30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8.75" customHeight="1">
      <c r="A373" s="5"/>
      <c r="B373" s="30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8.75" customHeight="1">
      <c r="A374" s="5"/>
      <c r="B374" s="30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8.75" customHeight="1">
      <c r="A375" s="5"/>
      <c r="B375" s="30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8.75" customHeight="1">
      <c r="A376" s="5"/>
      <c r="B376" s="30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8.75" customHeight="1">
      <c r="A377" s="5"/>
      <c r="B377" s="30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8.75" customHeight="1">
      <c r="A378" s="5"/>
      <c r="B378" s="30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8.75" customHeight="1">
      <c r="A379" s="5"/>
      <c r="B379" s="30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8.75" customHeight="1">
      <c r="A380" s="5"/>
      <c r="B380" s="30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8.75" customHeight="1">
      <c r="A381" s="5"/>
      <c r="B381" s="30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8.75" customHeight="1">
      <c r="A382" s="5"/>
      <c r="B382" s="30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8.75" customHeight="1">
      <c r="A383" s="5"/>
      <c r="B383" s="30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8.75" customHeight="1">
      <c r="A384" s="5"/>
      <c r="B384" s="30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8.75" customHeight="1">
      <c r="A385" s="5"/>
      <c r="B385" s="30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8.75" customHeight="1">
      <c r="A386" s="5"/>
      <c r="B386" s="30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8.75" customHeight="1">
      <c r="A387" s="5"/>
      <c r="B387" s="30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8.75" customHeight="1">
      <c r="A388" s="5"/>
      <c r="B388" s="30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8.75" customHeight="1">
      <c r="A389" s="5"/>
      <c r="B389" s="30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8.75" customHeight="1">
      <c r="A390" s="5"/>
      <c r="B390" s="30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8.75" customHeight="1">
      <c r="A391" s="5"/>
      <c r="B391" s="30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8.75" customHeight="1">
      <c r="A392" s="5"/>
      <c r="B392" s="30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8.75" customHeight="1">
      <c r="A393" s="5"/>
      <c r="B393" s="30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8.75" customHeight="1">
      <c r="A394" s="5"/>
      <c r="B394" s="30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8.75" customHeight="1">
      <c r="A395" s="5"/>
      <c r="B395" s="30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8.75" customHeight="1">
      <c r="A396" s="5"/>
      <c r="B396" s="30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8.75" customHeight="1">
      <c r="A397" s="5"/>
      <c r="B397" s="30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8.75" customHeight="1">
      <c r="A398" s="5"/>
      <c r="B398" s="30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8.75" customHeight="1">
      <c r="A399" s="5"/>
      <c r="B399" s="30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8.75" customHeight="1">
      <c r="A400" s="5"/>
      <c r="B400" s="30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8.75" customHeight="1">
      <c r="A401" s="5"/>
      <c r="B401" s="30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8.75" customHeight="1">
      <c r="A402" s="5"/>
      <c r="B402" s="30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8.75" customHeight="1">
      <c r="A403" s="5"/>
      <c r="B403" s="30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8.75" customHeight="1">
      <c r="A404" s="5"/>
      <c r="B404" s="30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8.75" customHeight="1">
      <c r="A405" s="5"/>
      <c r="B405" s="30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8.75" customHeight="1">
      <c r="A406" s="5"/>
      <c r="B406" s="30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8.75" customHeight="1">
      <c r="A407" s="5"/>
      <c r="B407" s="30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8.75" customHeight="1">
      <c r="A408" s="5"/>
      <c r="B408" s="30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8.75" customHeight="1">
      <c r="A409" s="5"/>
      <c r="B409" s="30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8.75" customHeight="1">
      <c r="A410" s="5"/>
      <c r="B410" s="30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8.75" customHeight="1">
      <c r="A411" s="5"/>
      <c r="B411" s="30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8.75" customHeight="1">
      <c r="A412" s="5"/>
      <c r="B412" s="30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8.75" customHeight="1">
      <c r="A413" s="5"/>
      <c r="B413" s="30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8.75" customHeight="1">
      <c r="A414" s="5"/>
      <c r="B414" s="30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8.75" customHeight="1">
      <c r="A415" s="5"/>
      <c r="B415" s="30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8.75" customHeight="1">
      <c r="A416" s="5"/>
      <c r="B416" s="30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8.75" customHeight="1">
      <c r="A417" s="5"/>
      <c r="B417" s="30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8.75" customHeight="1">
      <c r="A418" s="5"/>
      <c r="B418" s="30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8.75" customHeight="1">
      <c r="A419" s="5"/>
      <c r="B419" s="30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8.75" customHeight="1">
      <c r="A420" s="5"/>
      <c r="B420" s="30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8.75" customHeight="1">
      <c r="A421" s="5"/>
      <c r="B421" s="30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8.75" customHeight="1">
      <c r="A422" s="5"/>
      <c r="B422" s="30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8.75" customHeight="1">
      <c r="A423" s="5"/>
      <c r="B423" s="30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8.75" customHeight="1">
      <c r="A424" s="5"/>
      <c r="B424" s="30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8.75" customHeight="1">
      <c r="A425" s="5"/>
      <c r="B425" s="30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8.75" customHeight="1">
      <c r="A426" s="5"/>
      <c r="B426" s="30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8.75" customHeight="1">
      <c r="A427" s="5"/>
      <c r="B427" s="30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8.75" customHeight="1">
      <c r="A428" s="5"/>
      <c r="B428" s="30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8.75" customHeight="1">
      <c r="A429" s="5"/>
      <c r="B429" s="30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8.75" customHeight="1">
      <c r="A430" s="5"/>
      <c r="B430" s="30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8.75" customHeight="1">
      <c r="A431" s="5"/>
      <c r="B431" s="30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8.75" customHeight="1">
      <c r="A432" s="5"/>
      <c r="B432" s="30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8.75" customHeight="1">
      <c r="A433" s="5"/>
      <c r="B433" s="30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8.75" customHeight="1">
      <c r="A434" s="5"/>
      <c r="B434" s="30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8.75" customHeight="1">
      <c r="A435" s="5"/>
      <c r="B435" s="30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8.75" customHeight="1">
      <c r="A436" s="5"/>
      <c r="B436" s="30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8.75" customHeight="1">
      <c r="A437" s="5"/>
      <c r="B437" s="30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8.75" customHeight="1">
      <c r="A438" s="5"/>
      <c r="B438" s="30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8.75" customHeight="1">
      <c r="A439" s="5"/>
      <c r="B439" s="30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8.75" customHeight="1">
      <c r="A440" s="5"/>
      <c r="B440" s="30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8.75" customHeight="1">
      <c r="A441" s="5"/>
      <c r="B441" s="30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8.75" customHeight="1">
      <c r="A442" s="5"/>
      <c r="B442" s="30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8.75" customHeight="1">
      <c r="A443" s="5"/>
      <c r="B443" s="30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8.75" customHeight="1">
      <c r="A444" s="5"/>
      <c r="B444" s="30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8.75" customHeight="1">
      <c r="A445" s="5"/>
      <c r="B445" s="30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8.75" customHeight="1">
      <c r="A446" s="5"/>
      <c r="B446" s="30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8.75" customHeight="1">
      <c r="A447" s="5"/>
      <c r="B447" s="30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8.75" customHeight="1">
      <c r="A448" s="5"/>
      <c r="B448" s="30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8.75" customHeight="1">
      <c r="A449" s="5"/>
      <c r="B449" s="30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8.75" customHeight="1">
      <c r="A450" s="5"/>
      <c r="B450" s="30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8.75" customHeight="1">
      <c r="A451" s="5"/>
      <c r="B451" s="30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8.75" customHeight="1">
      <c r="A452" s="5"/>
      <c r="B452" s="30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8.75" customHeight="1">
      <c r="A453" s="5"/>
      <c r="B453" s="30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8.75" customHeight="1">
      <c r="A454" s="5"/>
      <c r="B454" s="30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8.75" customHeight="1">
      <c r="A455" s="5"/>
      <c r="B455" s="30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8.75" customHeight="1">
      <c r="A456" s="5"/>
      <c r="B456" s="30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8.75" customHeight="1">
      <c r="A457" s="5"/>
      <c r="B457" s="30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8.75" customHeight="1">
      <c r="A458" s="5"/>
      <c r="B458" s="30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8.75" customHeight="1">
      <c r="A459" s="5"/>
      <c r="B459" s="30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8.75" customHeight="1">
      <c r="A460" s="5"/>
      <c r="B460" s="30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8.75" customHeight="1">
      <c r="A461" s="5"/>
      <c r="B461" s="30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8.75" customHeight="1">
      <c r="A462" s="5"/>
      <c r="B462" s="30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8.75" customHeight="1">
      <c r="A463" s="5"/>
      <c r="B463" s="30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8.75" customHeight="1">
      <c r="A464" s="5"/>
      <c r="B464" s="30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8.75" customHeight="1">
      <c r="A465" s="5"/>
      <c r="B465" s="30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8.75" customHeight="1">
      <c r="A466" s="5"/>
      <c r="B466" s="30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8.75" customHeight="1">
      <c r="A467" s="5"/>
      <c r="B467" s="30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8.75" customHeight="1">
      <c r="A468" s="5"/>
      <c r="B468" s="30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8.75" customHeight="1">
      <c r="A469" s="5"/>
      <c r="B469" s="30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8.75" customHeight="1">
      <c r="A470" s="5"/>
      <c r="B470" s="30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8.75" customHeight="1">
      <c r="A471" s="5"/>
      <c r="B471" s="30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8.75" customHeight="1">
      <c r="A472" s="5"/>
      <c r="B472" s="30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8.75" customHeight="1">
      <c r="A473" s="5"/>
      <c r="B473" s="30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8.75" customHeight="1">
      <c r="A474" s="5"/>
      <c r="B474" s="30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8.75" customHeight="1">
      <c r="A475" s="5"/>
      <c r="B475" s="30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8.75" customHeight="1">
      <c r="A476" s="5"/>
      <c r="B476" s="30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8.75" customHeight="1">
      <c r="A477" s="5"/>
      <c r="B477" s="30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8.75" customHeight="1">
      <c r="A478" s="5"/>
      <c r="B478" s="30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8.75" customHeight="1">
      <c r="A479" s="5"/>
      <c r="B479" s="30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8.75" customHeight="1">
      <c r="A480" s="5"/>
      <c r="B480" s="30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8.75" customHeight="1">
      <c r="A481" s="5"/>
      <c r="B481" s="30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8.75" customHeight="1">
      <c r="A482" s="5"/>
      <c r="B482" s="30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8.75" customHeight="1">
      <c r="A483" s="5"/>
      <c r="B483" s="30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8.75" customHeight="1">
      <c r="A484" s="5"/>
      <c r="B484" s="30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8.75" customHeight="1">
      <c r="A485" s="5"/>
      <c r="B485" s="30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8.75" customHeight="1">
      <c r="A486" s="5"/>
      <c r="B486" s="30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8.75" customHeight="1">
      <c r="A487" s="5"/>
      <c r="B487" s="30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8.75" customHeight="1">
      <c r="A488" s="5"/>
      <c r="B488" s="30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8.75" customHeight="1">
      <c r="A489" s="5"/>
      <c r="B489" s="30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8.75" customHeight="1">
      <c r="A490" s="5"/>
      <c r="B490" s="30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8.75" customHeight="1">
      <c r="A491" s="5"/>
      <c r="B491" s="30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8.75" customHeight="1">
      <c r="A492" s="5"/>
      <c r="B492" s="30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8.75" customHeight="1">
      <c r="A493" s="5"/>
      <c r="B493" s="30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8.75" customHeight="1">
      <c r="A494" s="5"/>
      <c r="B494" s="30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8.75" customHeight="1">
      <c r="A495" s="5"/>
      <c r="B495" s="30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8.75" customHeight="1">
      <c r="A496" s="5"/>
      <c r="B496" s="30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8.75" customHeight="1">
      <c r="A497" s="5"/>
      <c r="B497" s="30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8.75" customHeight="1">
      <c r="A498" s="5"/>
      <c r="B498" s="30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8.75" customHeight="1">
      <c r="A499" s="5"/>
      <c r="B499" s="30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8.75" customHeight="1">
      <c r="A500" s="5"/>
      <c r="B500" s="30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8.75" customHeight="1">
      <c r="A501" s="5"/>
      <c r="B501" s="30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8.75" customHeight="1">
      <c r="A502" s="5"/>
      <c r="B502" s="30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8.75" customHeight="1">
      <c r="A503" s="5"/>
      <c r="B503" s="30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8.75" customHeight="1">
      <c r="A504" s="5"/>
      <c r="B504" s="30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8.75" customHeight="1">
      <c r="A505" s="5"/>
      <c r="B505" s="30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8.75" customHeight="1">
      <c r="A506" s="5"/>
      <c r="B506" s="30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8.75" customHeight="1">
      <c r="A507" s="5"/>
      <c r="B507" s="30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8.75" customHeight="1">
      <c r="A508" s="5"/>
      <c r="B508" s="30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8.75" customHeight="1">
      <c r="A509" s="5"/>
      <c r="B509" s="30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8.75" customHeight="1">
      <c r="A510" s="5"/>
      <c r="B510" s="30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8.75" customHeight="1">
      <c r="A511" s="5"/>
      <c r="B511" s="30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8.75" customHeight="1">
      <c r="A512" s="5"/>
      <c r="B512" s="30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8.75" customHeight="1">
      <c r="A513" s="5"/>
      <c r="B513" s="30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8.75" customHeight="1">
      <c r="A514" s="5"/>
      <c r="B514" s="30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8.75" customHeight="1">
      <c r="A515" s="5"/>
      <c r="B515" s="30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8.75" customHeight="1">
      <c r="A516" s="5"/>
      <c r="B516" s="30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8.75" customHeight="1">
      <c r="A517" s="5"/>
      <c r="B517" s="30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8.75" customHeight="1">
      <c r="A518" s="5"/>
      <c r="B518" s="30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8.75" customHeight="1">
      <c r="A519" s="5"/>
      <c r="B519" s="30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8.75" customHeight="1">
      <c r="A520" s="5"/>
      <c r="B520" s="30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8.75" customHeight="1">
      <c r="A521" s="5"/>
      <c r="B521" s="30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8.75" customHeight="1">
      <c r="A522" s="5"/>
      <c r="B522" s="30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8.75" customHeight="1">
      <c r="A523" s="5"/>
      <c r="B523" s="30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8.75" customHeight="1">
      <c r="A524" s="5"/>
      <c r="B524" s="30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8.75" customHeight="1">
      <c r="A525" s="5"/>
      <c r="B525" s="30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8.75" customHeight="1">
      <c r="A526" s="5"/>
      <c r="B526" s="30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8.75" customHeight="1">
      <c r="A527" s="5"/>
      <c r="B527" s="30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8.75" customHeight="1">
      <c r="A528" s="5"/>
      <c r="B528" s="30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8.75" customHeight="1">
      <c r="A529" s="5"/>
      <c r="B529" s="30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8.75" customHeight="1">
      <c r="A530" s="5"/>
      <c r="B530" s="30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8.75" customHeight="1">
      <c r="A531" s="5"/>
      <c r="B531" s="30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8.75" customHeight="1">
      <c r="A532" s="5"/>
      <c r="B532" s="30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8.75" customHeight="1">
      <c r="A533" s="5"/>
      <c r="B533" s="30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8.75" customHeight="1">
      <c r="A534" s="5"/>
      <c r="B534" s="30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8.75" customHeight="1">
      <c r="A535" s="5"/>
      <c r="B535" s="30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8.75" customHeight="1">
      <c r="A536" s="5"/>
      <c r="B536" s="30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8.75" customHeight="1">
      <c r="A537" s="5"/>
      <c r="B537" s="30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8.75" customHeight="1">
      <c r="A538" s="5"/>
      <c r="B538" s="30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8.75" customHeight="1">
      <c r="A539" s="5"/>
      <c r="B539" s="30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8.75" customHeight="1">
      <c r="A540" s="5"/>
      <c r="B540" s="30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8.75" customHeight="1">
      <c r="A541" s="5"/>
      <c r="B541" s="30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8.75" customHeight="1">
      <c r="A542" s="5"/>
      <c r="B542" s="30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8.75" customHeight="1">
      <c r="A543" s="5"/>
      <c r="B543" s="30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8.75" customHeight="1">
      <c r="A544" s="5"/>
      <c r="B544" s="30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8.75" customHeight="1">
      <c r="A545" s="5"/>
      <c r="B545" s="30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8.75" customHeight="1">
      <c r="A546" s="5"/>
      <c r="B546" s="30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8.75" customHeight="1">
      <c r="A547" s="5"/>
      <c r="B547" s="30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8.75" customHeight="1">
      <c r="A548" s="5"/>
      <c r="B548" s="30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8.75" customHeight="1">
      <c r="A549" s="5"/>
      <c r="B549" s="30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8.75" customHeight="1">
      <c r="A550" s="5"/>
      <c r="B550" s="30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8.75" customHeight="1">
      <c r="A551" s="5"/>
      <c r="B551" s="30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8.75" customHeight="1">
      <c r="A552" s="5"/>
      <c r="B552" s="30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8.75" customHeight="1">
      <c r="A553" s="5"/>
      <c r="B553" s="30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8.75" customHeight="1">
      <c r="A554" s="5"/>
      <c r="B554" s="30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8.75" customHeight="1">
      <c r="A555" s="5"/>
      <c r="B555" s="30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8.75" customHeight="1">
      <c r="A556" s="5"/>
      <c r="B556" s="30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8.75" customHeight="1">
      <c r="A557" s="5"/>
      <c r="B557" s="30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8.75" customHeight="1">
      <c r="A558" s="5"/>
      <c r="B558" s="30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8.75" customHeight="1">
      <c r="A559" s="5"/>
      <c r="B559" s="30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8.75" customHeight="1">
      <c r="A560" s="5"/>
      <c r="B560" s="30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8.75" customHeight="1">
      <c r="A561" s="5"/>
      <c r="B561" s="30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8.75" customHeight="1">
      <c r="A562" s="5"/>
      <c r="B562" s="30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8.75" customHeight="1">
      <c r="A563" s="5"/>
      <c r="B563" s="30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8.75" customHeight="1">
      <c r="A564" s="5"/>
      <c r="B564" s="30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8.75" customHeight="1">
      <c r="A565" s="5"/>
      <c r="B565" s="30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8.75" customHeight="1">
      <c r="A566" s="5"/>
      <c r="B566" s="30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8.75" customHeight="1">
      <c r="A567" s="5"/>
      <c r="B567" s="30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8.75" customHeight="1">
      <c r="A568" s="5"/>
      <c r="B568" s="30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8.75" customHeight="1">
      <c r="A569" s="5"/>
      <c r="B569" s="30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8.75" customHeight="1">
      <c r="A570" s="5"/>
      <c r="B570" s="30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8.75" customHeight="1">
      <c r="A571" s="5"/>
      <c r="B571" s="30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8.75" customHeight="1">
      <c r="A572" s="5"/>
      <c r="B572" s="30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8.75" customHeight="1">
      <c r="A573" s="5"/>
      <c r="B573" s="30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8.75" customHeight="1">
      <c r="A574" s="5"/>
      <c r="B574" s="30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8.75" customHeight="1">
      <c r="A575" s="5"/>
      <c r="B575" s="30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8.75" customHeight="1">
      <c r="A576" s="5"/>
      <c r="B576" s="30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8.75" customHeight="1">
      <c r="A577" s="5"/>
      <c r="B577" s="30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8.75" customHeight="1">
      <c r="A578" s="5"/>
      <c r="B578" s="30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8.75" customHeight="1">
      <c r="A579" s="5"/>
      <c r="B579" s="30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8.75" customHeight="1">
      <c r="A580" s="5"/>
      <c r="B580" s="30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8.75" customHeight="1">
      <c r="A581" s="5"/>
      <c r="B581" s="30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8.75" customHeight="1">
      <c r="A582" s="5"/>
      <c r="B582" s="30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8.75" customHeight="1">
      <c r="A583" s="5"/>
      <c r="B583" s="30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8.75" customHeight="1">
      <c r="A584" s="5"/>
      <c r="B584" s="30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8.75" customHeight="1">
      <c r="A585" s="5"/>
      <c r="B585" s="30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8.75" customHeight="1">
      <c r="A586" s="5"/>
      <c r="B586" s="30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8.75" customHeight="1">
      <c r="A587" s="5"/>
      <c r="B587" s="30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8.75" customHeight="1">
      <c r="A588" s="5"/>
      <c r="B588" s="30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8.75" customHeight="1">
      <c r="A589" s="5"/>
      <c r="B589" s="30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8.75" customHeight="1">
      <c r="A590" s="5"/>
      <c r="B590" s="30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8.75" customHeight="1">
      <c r="A591" s="5"/>
      <c r="B591" s="30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8.75" customHeight="1">
      <c r="A592" s="5"/>
      <c r="B592" s="30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8.75" customHeight="1">
      <c r="A593" s="5"/>
      <c r="B593" s="30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8.75" customHeight="1">
      <c r="A594" s="5"/>
      <c r="B594" s="30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8.75" customHeight="1">
      <c r="A595" s="5"/>
      <c r="B595" s="30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8.75" customHeight="1">
      <c r="A596" s="5"/>
      <c r="B596" s="30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8.75" customHeight="1">
      <c r="A597" s="5"/>
      <c r="B597" s="30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8.75" customHeight="1">
      <c r="A598" s="5"/>
      <c r="B598" s="30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8.75" customHeight="1">
      <c r="A599" s="5"/>
      <c r="B599" s="30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8.75" customHeight="1">
      <c r="A600" s="5"/>
      <c r="B600" s="30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8.75" customHeight="1">
      <c r="A601" s="5"/>
      <c r="B601" s="30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8.75" customHeight="1">
      <c r="A602" s="5"/>
      <c r="B602" s="30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8.75" customHeight="1">
      <c r="A603" s="5"/>
      <c r="B603" s="30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8.75" customHeight="1">
      <c r="A604" s="5"/>
      <c r="B604" s="30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8.75" customHeight="1">
      <c r="A605" s="5"/>
      <c r="B605" s="30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8.75" customHeight="1">
      <c r="A606" s="5"/>
      <c r="B606" s="30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8.75" customHeight="1">
      <c r="A607" s="5"/>
      <c r="B607" s="30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8.75" customHeight="1">
      <c r="A608" s="5"/>
      <c r="B608" s="30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8.75" customHeight="1">
      <c r="A609" s="5"/>
      <c r="B609" s="30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8.75" customHeight="1">
      <c r="A610" s="5"/>
      <c r="B610" s="30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8.75" customHeight="1">
      <c r="A611" s="5"/>
      <c r="B611" s="30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8.75" customHeight="1">
      <c r="A612" s="5"/>
      <c r="B612" s="30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8.75" customHeight="1">
      <c r="A613" s="5"/>
      <c r="B613" s="30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8.75" customHeight="1">
      <c r="A614" s="5"/>
      <c r="B614" s="30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8.75" customHeight="1">
      <c r="A615" s="5"/>
      <c r="B615" s="30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8.75" customHeight="1">
      <c r="A616" s="5"/>
      <c r="B616" s="30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8.75" customHeight="1">
      <c r="A617" s="5"/>
      <c r="B617" s="30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8.75" customHeight="1">
      <c r="A618" s="5"/>
      <c r="B618" s="30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8.75" customHeight="1">
      <c r="A619" s="5"/>
      <c r="B619" s="30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8.75" customHeight="1">
      <c r="A620" s="5"/>
      <c r="B620" s="30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8.75" customHeight="1">
      <c r="A621" s="5"/>
      <c r="B621" s="30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8.75" customHeight="1">
      <c r="A622" s="5"/>
      <c r="B622" s="30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8.75" customHeight="1">
      <c r="A623" s="5"/>
      <c r="B623" s="30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8.75" customHeight="1">
      <c r="A624" s="5"/>
      <c r="B624" s="30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8.75" customHeight="1">
      <c r="A625" s="5"/>
      <c r="B625" s="30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8.75" customHeight="1">
      <c r="A626" s="5"/>
      <c r="B626" s="30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8.75" customHeight="1">
      <c r="A627" s="5"/>
      <c r="B627" s="30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8.75" customHeight="1">
      <c r="A628" s="5"/>
      <c r="B628" s="30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8.75" customHeight="1">
      <c r="A629" s="5"/>
      <c r="B629" s="30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8.75" customHeight="1">
      <c r="A630" s="5"/>
      <c r="B630" s="30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8.75" customHeight="1">
      <c r="A631" s="5"/>
      <c r="B631" s="30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8.75" customHeight="1">
      <c r="A632" s="5"/>
      <c r="B632" s="30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8.75" customHeight="1">
      <c r="A633" s="5"/>
      <c r="B633" s="30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8.75" customHeight="1">
      <c r="A634" s="5"/>
      <c r="B634" s="30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8.75" customHeight="1">
      <c r="A635" s="5"/>
      <c r="B635" s="30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8.75" customHeight="1">
      <c r="A636" s="5"/>
      <c r="B636" s="30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8.75" customHeight="1">
      <c r="A637" s="5"/>
      <c r="B637" s="30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8.75" customHeight="1">
      <c r="A638" s="5"/>
      <c r="B638" s="30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8.75" customHeight="1">
      <c r="A639" s="5"/>
      <c r="B639" s="30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8.75" customHeight="1">
      <c r="A640" s="5"/>
      <c r="B640" s="30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8.75" customHeight="1">
      <c r="A641" s="5"/>
      <c r="B641" s="30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8.75" customHeight="1">
      <c r="A642" s="5"/>
      <c r="B642" s="30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8.75" customHeight="1">
      <c r="A643" s="5"/>
      <c r="B643" s="30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8.75" customHeight="1">
      <c r="A644" s="5"/>
      <c r="B644" s="30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8.75" customHeight="1">
      <c r="A645" s="5"/>
      <c r="B645" s="30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8.75" customHeight="1">
      <c r="A646" s="5"/>
      <c r="B646" s="30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8.75" customHeight="1">
      <c r="A647" s="5"/>
      <c r="B647" s="30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8.75" customHeight="1">
      <c r="A648" s="5"/>
      <c r="B648" s="30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8.75" customHeight="1">
      <c r="A649" s="5"/>
      <c r="B649" s="30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8.75" customHeight="1">
      <c r="A650" s="5"/>
      <c r="B650" s="30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8.75" customHeight="1">
      <c r="A651" s="5"/>
      <c r="B651" s="30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8.75" customHeight="1">
      <c r="A652" s="5"/>
      <c r="B652" s="30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8.75" customHeight="1">
      <c r="A653" s="5"/>
      <c r="B653" s="30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8.75" customHeight="1">
      <c r="A654" s="5"/>
      <c r="B654" s="30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8.75" customHeight="1">
      <c r="A655" s="5"/>
      <c r="B655" s="30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8.75" customHeight="1">
      <c r="A656" s="5"/>
      <c r="B656" s="30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8.75" customHeight="1">
      <c r="A657" s="5"/>
      <c r="B657" s="30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8.75" customHeight="1">
      <c r="A658" s="5"/>
      <c r="B658" s="30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8.75" customHeight="1">
      <c r="A659" s="5"/>
      <c r="B659" s="30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8.75" customHeight="1">
      <c r="A660" s="5"/>
      <c r="B660" s="30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8.75" customHeight="1">
      <c r="A661" s="5"/>
      <c r="B661" s="30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8.75" customHeight="1">
      <c r="A662" s="5"/>
      <c r="B662" s="30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8.75" customHeight="1">
      <c r="A663" s="5"/>
      <c r="B663" s="30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8.75" customHeight="1">
      <c r="A664" s="5"/>
      <c r="B664" s="30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8.75" customHeight="1">
      <c r="A665" s="5"/>
      <c r="B665" s="30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8.75" customHeight="1">
      <c r="A666" s="5"/>
      <c r="B666" s="30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8.75" customHeight="1">
      <c r="A667" s="5"/>
      <c r="B667" s="30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8.75" customHeight="1">
      <c r="A668" s="5"/>
      <c r="B668" s="30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8.75" customHeight="1">
      <c r="A669" s="5"/>
      <c r="B669" s="30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8.75" customHeight="1">
      <c r="A670" s="5"/>
      <c r="B670" s="30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8.75" customHeight="1">
      <c r="A671" s="5"/>
      <c r="B671" s="30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8.75" customHeight="1">
      <c r="A672" s="5"/>
      <c r="B672" s="30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8.75" customHeight="1">
      <c r="A673" s="5"/>
      <c r="B673" s="30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8.75" customHeight="1">
      <c r="A674" s="5"/>
      <c r="B674" s="30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8.75" customHeight="1">
      <c r="A675" s="5"/>
      <c r="B675" s="30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8.75" customHeight="1">
      <c r="A676" s="5"/>
      <c r="B676" s="30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8.75" customHeight="1">
      <c r="A677" s="5"/>
      <c r="B677" s="30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8.75" customHeight="1">
      <c r="A678" s="5"/>
      <c r="B678" s="30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8.75" customHeight="1">
      <c r="A679" s="5"/>
      <c r="B679" s="30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8.75" customHeight="1">
      <c r="A680" s="5"/>
      <c r="B680" s="30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8.75" customHeight="1">
      <c r="A681" s="5"/>
      <c r="B681" s="30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8.75" customHeight="1">
      <c r="A682" s="5"/>
      <c r="B682" s="30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8.75" customHeight="1">
      <c r="A683" s="5"/>
      <c r="B683" s="30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8.75" customHeight="1">
      <c r="A684" s="5"/>
      <c r="B684" s="30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8.75" customHeight="1">
      <c r="A685" s="5"/>
      <c r="B685" s="30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8.75" customHeight="1">
      <c r="A686" s="5"/>
      <c r="B686" s="30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8.75" customHeight="1">
      <c r="A687" s="5"/>
      <c r="B687" s="30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8.75" customHeight="1">
      <c r="A688" s="5"/>
      <c r="B688" s="30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8.75" customHeight="1">
      <c r="A689" s="5"/>
      <c r="B689" s="30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8.75" customHeight="1">
      <c r="A690" s="5"/>
      <c r="B690" s="30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8.75" customHeight="1">
      <c r="A691" s="5"/>
      <c r="B691" s="30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8.75" customHeight="1">
      <c r="A692" s="5"/>
      <c r="B692" s="30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8.75" customHeight="1">
      <c r="A693" s="5"/>
      <c r="B693" s="30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8.75" customHeight="1">
      <c r="A694" s="5"/>
      <c r="B694" s="30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8.75" customHeight="1">
      <c r="A695" s="5"/>
      <c r="B695" s="30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8.75" customHeight="1">
      <c r="A696" s="5"/>
      <c r="B696" s="30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8.75" customHeight="1">
      <c r="A697" s="5"/>
      <c r="B697" s="30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8.75" customHeight="1">
      <c r="A698" s="5"/>
      <c r="B698" s="30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8.75" customHeight="1">
      <c r="A699" s="5"/>
      <c r="B699" s="30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8.75" customHeight="1">
      <c r="A700" s="5"/>
      <c r="B700" s="30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8.75" customHeight="1">
      <c r="A701" s="5"/>
      <c r="B701" s="30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8.75" customHeight="1">
      <c r="A702" s="5"/>
      <c r="B702" s="30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8.75" customHeight="1">
      <c r="A703" s="5"/>
      <c r="B703" s="30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8.75" customHeight="1">
      <c r="A704" s="5"/>
      <c r="B704" s="30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8.75" customHeight="1">
      <c r="A705" s="5"/>
      <c r="B705" s="30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8.75" customHeight="1">
      <c r="A706" s="5"/>
      <c r="B706" s="30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8.75" customHeight="1">
      <c r="A707" s="5"/>
      <c r="B707" s="30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8.75" customHeight="1">
      <c r="A708" s="5"/>
      <c r="B708" s="30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8.75" customHeight="1">
      <c r="A709" s="5"/>
      <c r="B709" s="30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8.75" customHeight="1">
      <c r="A710" s="5"/>
      <c r="B710" s="30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8.75" customHeight="1">
      <c r="A711" s="5"/>
      <c r="B711" s="30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8.75" customHeight="1">
      <c r="A712" s="5"/>
      <c r="B712" s="30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8.75" customHeight="1">
      <c r="A713" s="5"/>
      <c r="B713" s="30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8.75" customHeight="1">
      <c r="A714" s="5"/>
      <c r="B714" s="30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8.75" customHeight="1">
      <c r="A715" s="5"/>
      <c r="B715" s="30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8.75" customHeight="1">
      <c r="A716" s="5"/>
      <c r="B716" s="30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8.75" customHeight="1">
      <c r="A717" s="5"/>
      <c r="B717" s="30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8.75" customHeight="1">
      <c r="A718" s="5"/>
      <c r="B718" s="30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8.75" customHeight="1">
      <c r="A719" s="5"/>
      <c r="B719" s="30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8.75" customHeight="1">
      <c r="A720" s="5"/>
      <c r="B720" s="30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8.75" customHeight="1">
      <c r="A721" s="5"/>
      <c r="B721" s="30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8.75" customHeight="1">
      <c r="A722" s="5"/>
      <c r="B722" s="30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8.75" customHeight="1">
      <c r="A723" s="5"/>
      <c r="B723" s="30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8.75" customHeight="1">
      <c r="A724" s="5"/>
      <c r="B724" s="30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8.75" customHeight="1">
      <c r="A725" s="5"/>
      <c r="B725" s="30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8.75" customHeight="1">
      <c r="A726" s="5"/>
      <c r="B726" s="30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8.75" customHeight="1">
      <c r="A727" s="5"/>
      <c r="B727" s="30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8.75" customHeight="1">
      <c r="A728" s="5"/>
      <c r="B728" s="30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8.75" customHeight="1">
      <c r="A729" s="5"/>
      <c r="B729" s="30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8.75" customHeight="1">
      <c r="A730" s="5"/>
      <c r="B730" s="30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8.75" customHeight="1">
      <c r="A731" s="5"/>
      <c r="B731" s="30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8.75" customHeight="1">
      <c r="A732" s="5"/>
      <c r="B732" s="30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8.75" customHeight="1">
      <c r="A733" s="5"/>
      <c r="B733" s="30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8.75" customHeight="1">
      <c r="A734" s="5"/>
      <c r="B734" s="30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8.75" customHeight="1">
      <c r="A735" s="5"/>
      <c r="B735" s="30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8.75" customHeight="1">
      <c r="A736" s="5"/>
      <c r="B736" s="30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8.75" customHeight="1">
      <c r="A737" s="5"/>
      <c r="B737" s="30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8.75" customHeight="1">
      <c r="A738" s="5"/>
      <c r="B738" s="30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8.75" customHeight="1">
      <c r="A739" s="5"/>
      <c r="B739" s="30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8.75" customHeight="1">
      <c r="A740" s="5"/>
      <c r="B740" s="30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8.75" customHeight="1">
      <c r="A741" s="5"/>
      <c r="B741" s="30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8.75" customHeight="1">
      <c r="A742" s="5"/>
      <c r="B742" s="30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8.75" customHeight="1">
      <c r="A743" s="5"/>
      <c r="B743" s="30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8.75" customHeight="1">
      <c r="A744" s="5"/>
      <c r="B744" s="30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8.75" customHeight="1">
      <c r="A745" s="5"/>
      <c r="B745" s="30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8.75" customHeight="1">
      <c r="A746" s="5"/>
      <c r="B746" s="30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8.75" customHeight="1">
      <c r="A747" s="5"/>
      <c r="B747" s="30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8.75" customHeight="1">
      <c r="A748" s="5"/>
      <c r="B748" s="30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8.75" customHeight="1">
      <c r="A749" s="5"/>
      <c r="B749" s="30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8.75" customHeight="1">
      <c r="A750" s="5"/>
      <c r="B750" s="30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8.75" customHeight="1">
      <c r="A751" s="5"/>
      <c r="B751" s="30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8.75" customHeight="1">
      <c r="A752" s="5"/>
      <c r="B752" s="30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8.75" customHeight="1">
      <c r="A753" s="5"/>
      <c r="B753" s="30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8.75" customHeight="1">
      <c r="A754" s="5"/>
      <c r="B754" s="30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8.75" customHeight="1">
      <c r="A755" s="5"/>
      <c r="B755" s="30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8.75" customHeight="1">
      <c r="A756" s="5"/>
      <c r="B756" s="30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8.75" customHeight="1">
      <c r="A757" s="5"/>
      <c r="B757" s="30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8.75" customHeight="1">
      <c r="A758" s="5"/>
      <c r="B758" s="30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8.75" customHeight="1">
      <c r="A759" s="5"/>
      <c r="B759" s="30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8.75" customHeight="1">
      <c r="A760" s="5"/>
      <c r="B760" s="30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8.75" customHeight="1">
      <c r="A761" s="5"/>
      <c r="B761" s="30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8.75" customHeight="1">
      <c r="A762" s="5"/>
      <c r="B762" s="30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8.75" customHeight="1">
      <c r="A763" s="5"/>
      <c r="B763" s="30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8.75" customHeight="1">
      <c r="A764" s="5"/>
      <c r="B764" s="30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8.75" customHeight="1">
      <c r="A765" s="5"/>
      <c r="B765" s="30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8.75" customHeight="1">
      <c r="A766" s="5"/>
      <c r="B766" s="30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8.75" customHeight="1">
      <c r="A767" s="5"/>
      <c r="B767" s="30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8.75" customHeight="1">
      <c r="A768" s="5"/>
      <c r="B768" s="30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8.75" customHeight="1">
      <c r="A769" s="5"/>
      <c r="B769" s="30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8.75" customHeight="1">
      <c r="A770" s="5"/>
      <c r="B770" s="30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8.75" customHeight="1">
      <c r="A771" s="5"/>
      <c r="B771" s="30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8.75" customHeight="1">
      <c r="A772" s="5"/>
      <c r="B772" s="30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8.75" customHeight="1">
      <c r="A773" s="5"/>
      <c r="B773" s="30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8.75" customHeight="1">
      <c r="A774" s="5"/>
      <c r="B774" s="30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8.75" customHeight="1">
      <c r="A775" s="5"/>
      <c r="B775" s="30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8.75" customHeight="1">
      <c r="A776" s="5"/>
      <c r="B776" s="30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8.75" customHeight="1">
      <c r="A777" s="5"/>
      <c r="B777" s="30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8.75" customHeight="1">
      <c r="A778" s="5"/>
      <c r="B778" s="30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8.75" customHeight="1">
      <c r="A779" s="5"/>
      <c r="B779" s="30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8.75" customHeight="1">
      <c r="A780" s="5"/>
      <c r="B780" s="30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8.75" customHeight="1">
      <c r="A781" s="5"/>
      <c r="B781" s="30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8.75" customHeight="1">
      <c r="A782" s="5"/>
      <c r="B782" s="30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8.75" customHeight="1">
      <c r="A783" s="5"/>
      <c r="B783" s="30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8.75" customHeight="1">
      <c r="A784" s="5"/>
      <c r="B784" s="30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8.75" customHeight="1">
      <c r="A785" s="5"/>
      <c r="B785" s="30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8.75" customHeight="1">
      <c r="A786" s="5"/>
      <c r="B786" s="30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8.75" customHeight="1">
      <c r="A787" s="5"/>
      <c r="B787" s="30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8.75" customHeight="1">
      <c r="A788" s="5"/>
      <c r="B788" s="30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8.75" customHeight="1">
      <c r="A789" s="5"/>
      <c r="B789" s="30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8.75" customHeight="1">
      <c r="A790" s="5"/>
      <c r="B790" s="30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8.75" customHeight="1">
      <c r="A791" s="5"/>
      <c r="B791" s="30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8.75" customHeight="1">
      <c r="A792" s="5"/>
      <c r="B792" s="30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8.75" customHeight="1">
      <c r="A793" s="5"/>
      <c r="B793" s="30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8.75" customHeight="1">
      <c r="A794" s="5"/>
      <c r="B794" s="30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8.75" customHeight="1">
      <c r="A795" s="5"/>
      <c r="B795" s="30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8.75" customHeight="1">
      <c r="A796" s="5"/>
      <c r="B796" s="30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8.75" customHeight="1">
      <c r="A797" s="5"/>
      <c r="B797" s="30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8.75" customHeight="1">
      <c r="A798" s="5"/>
      <c r="B798" s="30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8.75" customHeight="1">
      <c r="A799" s="5"/>
      <c r="B799" s="30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8.75" customHeight="1">
      <c r="A800" s="5"/>
      <c r="B800" s="30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8.75" customHeight="1">
      <c r="A801" s="5"/>
      <c r="B801" s="30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8.75" customHeight="1">
      <c r="A802" s="5"/>
      <c r="B802" s="30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8.75" customHeight="1">
      <c r="A803" s="5"/>
      <c r="B803" s="30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8.75" customHeight="1">
      <c r="A804" s="5"/>
      <c r="B804" s="30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8.75" customHeight="1">
      <c r="A805" s="5"/>
      <c r="B805" s="30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8.75" customHeight="1">
      <c r="A806" s="5"/>
      <c r="B806" s="30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8.75" customHeight="1">
      <c r="A807" s="5"/>
      <c r="B807" s="30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8.75" customHeight="1">
      <c r="A808" s="5"/>
      <c r="B808" s="30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8.75" customHeight="1">
      <c r="A809" s="5"/>
      <c r="B809" s="30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8.75" customHeight="1">
      <c r="A810" s="5"/>
      <c r="B810" s="30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8.75" customHeight="1">
      <c r="A811" s="5"/>
      <c r="B811" s="30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8.75" customHeight="1">
      <c r="A812" s="5"/>
      <c r="B812" s="30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8.75" customHeight="1">
      <c r="A813" s="5"/>
      <c r="B813" s="30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8.75" customHeight="1">
      <c r="A814" s="5"/>
      <c r="B814" s="30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8.75" customHeight="1">
      <c r="A815" s="5"/>
      <c r="B815" s="30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8.75" customHeight="1">
      <c r="A816" s="5"/>
      <c r="B816" s="30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8.75" customHeight="1">
      <c r="A817" s="5"/>
      <c r="B817" s="30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8.75" customHeight="1">
      <c r="A818" s="5"/>
      <c r="B818" s="30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8.75" customHeight="1">
      <c r="A819" s="5"/>
      <c r="B819" s="30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8.75" customHeight="1">
      <c r="A820" s="5"/>
      <c r="B820" s="30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8.75" customHeight="1">
      <c r="A821" s="5"/>
      <c r="B821" s="30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8.75" customHeight="1">
      <c r="A822" s="5"/>
      <c r="B822" s="30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8.75" customHeight="1">
      <c r="A823" s="5"/>
      <c r="B823" s="30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8.75" customHeight="1">
      <c r="A824" s="5"/>
      <c r="B824" s="30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8.75" customHeight="1">
      <c r="A825" s="5"/>
      <c r="B825" s="30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8.75" customHeight="1">
      <c r="A826" s="5"/>
      <c r="B826" s="30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8.75" customHeight="1">
      <c r="A827" s="5"/>
      <c r="B827" s="30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8.75" customHeight="1">
      <c r="A828" s="5"/>
      <c r="B828" s="30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8.75" customHeight="1">
      <c r="A829" s="5"/>
      <c r="B829" s="30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8.75" customHeight="1">
      <c r="A830" s="5"/>
      <c r="B830" s="30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8.75" customHeight="1">
      <c r="A831" s="5"/>
      <c r="B831" s="30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8.75" customHeight="1">
      <c r="A832" s="5"/>
      <c r="B832" s="30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8.75" customHeight="1">
      <c r="A833" s="5"/>
      <c r="B833" s="30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8.75" customHeight="1">
      <c r="A834" s="5"/>
      <c r="B834" s="30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8.75" customHeight="1">
      <c r="A835" s="5"/>
      <c r="B835" s="30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8.75" customHeight="1">
      <c r="A836" s="5"/>
      <c r="B836" s="30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8.75" customHeight="1">
      <c r="A837" s="5"/>
      <c r="B837" s="30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8.75" customHeight="1">
      <c r="A838" s="5"/>
      <c r="B838" s="30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8.75" customHeight="1">
      <c r="A839" s="5"/>
      <c r="B839" s="30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8.75" customHeight="1">
      <c r="A840" s="5"/>
      <c r="B840" s="30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8.75" customHeight="1">
      <c r="A841" s="5"/>
      <c r="B841" s="30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8.75" customHeight="1">
      <c r="A842" s="5"/>
      <c r="B842" s="30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8.75" customHeight="1">
      <c r="A843" s="5"/>
      <c r="B843" s="30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8.75" customHeight="1">
      <c r="A844" s="5"/>
      <c r="B844" s="30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8.75" customHeight="1">
      <c r="A845" s="5"/>
      <c r="B845" s="30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8.75" customHeight="1">
      <c r="A846" s="5"/>
      <c r="B846" s="30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8.75" customHeight="1">
      <c r="A847" s="5"/>
      <c r="B847" s="30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8.75" customHeight="1">
      <c r="A848" s="5"/>
      <c r="B848" s="30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8.75" customHeight="1">
      <c r="A849" s="5"/>
      <c r="B849" s="30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8.75" customHeight="1">
      <c r="A850" s="5"/>
      <c r="B850" s="30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8.75" customHeight="1">
      <c r="A851" s="5"/>
      <c r="B851" s="30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8.75" customHeight="1">
      <c r="A852" s="5"/>
      <c r="B852" s="30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8.75" customHeight="1">
      <c r="A853" s="5"/>
      <c r="B853" s="30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8.75" customHeight="1">
      <c r="A854" s="5"/>
      <c r="B854" s="30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8.75" customHeight="1">
      <c r="A855" s="5"/>
      <c r="B855" s="30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8.75" customHeight="1">
      <c r="A856" s="5"/>
      <c r="B856" s="30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8.75" customHeight="1">
      <c r="A857" s="5"/>
      <c r="B857" s="30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8.75" customHeight="1">
      <c r="A858" s="5"/>
      <c r="B858" s="30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8.75" customHeight="1">
      <c r="A859" s="5"/>
      <c r="B859" s="30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8.75" customHeight="1">
      <c r="A860" s="5"/>
      <c r="B860" s="30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8.75" customHeight="1">
      <c r="A861" s="5"/>
      <c r="B861" s="30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8.75" customHeight="1">
      <c r="A862" s="5"/>
      <c r="B862" s="30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8.75" customHeight="1">
      <c r="A863" s="5"/>
      <c r="B863" s="30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8.75" customHeight="1">
      <c r="A864" s="5"/>
      <c r="B864" s="30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8.75" customHeight="1">
      <c r="A865" s="5"/>
      <c r="B865" s="30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8.75" customHeight="1">
      <c r="A866" s="5"/>
      <c r="B866" s="30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8.75" customHeight="1">
      <c r="A867" s="5"/>
      <c r="B867" s="30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8.75" customHeight="1">
      <c r="A868" s="5"/>
      <c r="B868" s="30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8.75" customHeight="1">
      <c r="A869" s="5"/>
      <c r="B869" s="30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8.75" customHeight="1">
      <c r="A870" s="5"/>
      <c r="B870" s="30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8.75" customHeight="1">
      <c r="A871" s="5"/>
      <c r="B871" s="30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8.75" customHeight="1">
      <c r="A872" s="5"/>
      <c r="B872" s="30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8.75" customHeight="1">
      <c r="A873" s="5"/>
      <c r="B873" s="30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8.75" customHeight="1">
      <c r="A874" s="5"/>
      <c r="B874" s="30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8.75" customHeight="1">
      <c r="A875" s="5"/>
      <c r="B875" s="30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8.75" customHeight="1">
      <c r="A876" s="5"/>
      <c r="B876" s="30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8.75" customHeight="1">
      <c r="A877" s="5"/>
      <c r="B877" s="30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8.75" customHeight="1">
      <c r="A878" s="5"/>
      <c r="B878" s="30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8.75" customHeight="1">
      <c r="A879" s="5"/>
      <c r="B879" s="30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8.75" customHeight="1">
      <c r="A880" s="5"/>
      <c r="B880" s="30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8.75" customHeight="1">
      <c r="A881" s="5"/>
      <c r="B881" s="30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8.75" customHeight="1">
      <c r="A882" s="5"/>
      <c r="B882" s="30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8.75" customHeight="1">
      <c r="A883" s="5"/>
      <c r="B883" s="30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8.75" customHeight="1">
      <c r="A884" s="5"/>
      <c r="B884" s="30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8.75" customHeight="1">
      <c r="A885" s="5"/>
      <c r="B885" s="30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8.75" customHeight="1">
      <c r="A886" s="5"/>
      <c r="B886" s="30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8.75" customHeight="1">
      <c r="A887" s="5"/>
      <c r="B887" s="30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8.75" customHeight="1">
      <c r="A888" s="5"/>
      <c r="B888" s="30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8.75" customHeight="1">
      <c r="A889" s="5"/>
      <c r="B889" s="30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8.75" customHeight="1">
      <c r="A890" s="5"/>
      <c r="B890" s="30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8.75" customHeight="1">
      <c r="A891" s="5"/>
      <c r="B891" s="30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8.75" customHeight="1">
      <c r="A892" s="5"/>
      <c r="B892" s="30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8.75" customHeight="1">
      <c r="A893" s="5"/>
      <c r="B893" s="30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8.75" customHeight="1">
      <c r="A894" s="5"/>
      <c r="B894" s="30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8.75" customHeight="1">
      <c r="A895" s="5"/>
      <c r="B895" s="30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8.75" customHeight="1">
      <c r="A896" s="5"/>
      <c r="B896" s="30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8.75" customHeight="1">
      <c r="A897" s="5"/>
      <c r="B897" s="30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8.75" customHeight="1">
      <c r="A898" s="5"/>
      <c r="B898" s="30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8.75" customHeight="1">
      <c r="A899" s="5"/>
      <c r="B899" s="30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8.75" customHeight="1">
      <c r="A900" s="5"/>
      <c r="B900" s="30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8.75" customHeight="1">
      <c r="A901" s="5"/>
      <c r="B901" s="30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8.75" customHeight="1">
      <c r="A902" s="5"/>
      <c r="B902" s="30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8.75" customHeight="1">
      <c r="A903" s="5"/>
      <c r="B903" s="30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8.75" customHeight="1">
      <c r="A904" s="5"/>
      <c r="B904" s="30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8.75" customHeight="1">
      <c r="A905" s="5"/>
      <c r="B905" s="30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8.75" customHeight="1">
      <c r="A906" s="5"/>
      <c r="B906" s="30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8.75" customHeight="1">
      <c r="A907" s="5"/>
      <c r="B907" s="30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8.75" customHeight="1">
      <c r="A908" s="5"/>
      <c r="B908" s="30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8.75" customHeight="1">
      <c r="A909" s="5"/>
      <c r="B909" s="30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8.75" customHeight="1">
      <c r="A910" s="5"/>
      <c r="B910" s="30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8.75" customHeight="1">
      <c r="A911" s="5"/>
      <c r="B911" s="30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8.75" customHeight="1">
      <c r="A912" s="5"/>
      <c r="B912" s="30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8.75" customHeight="1">
      <c r="A913" s="5"/>
      <c r="B913" s="30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8.75" customHeight="1">
      <c r="A914" s="5"/>
      <c r="B914" s="30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8.75" customHeight="1">
      <c r="A915" s="5"/>
      <c r="B915" s="30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8.75" customHeight="1">
      <c r="A916" s="5"/>
      <c r="B916" s="30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8.75" customHeight="1">
      <c r="A917" s="5"/>
      <c r="B917" s="30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8.75" customHeight="1">
      <c r="A918" s="5"/>
      <c r="B918" s="30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8.75" customHeight="1">
      <c r="A919" s="5"/>
      <c r="B919" s="30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8.75" customHeight="1">
      <c r="A920" s="5"/>
      <c r="B920" s="30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8.75" customHeight="1">
      <c r="A921" s="5"/>
      <c r="B921" s="30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8.75" customHeight="1">
      <c r="A922" s="5"/>
      <c r="B922" s="30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8.75" customHeight="1">
      <c r="A923" s="5"/>
      <c r="B923" s="30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8.75" customHeight="1">
      <c r="A924" s="5"/>
      <c r="B924" s="30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8.75" customHeight="1">
      <c r="A925" s="5"/>
      <c r="B925" s="30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8.75" customHeight="1">
      <c r="A926" s="5"/>
      <c r="B926" s="30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8.75" customHeight="1">
      <c r="A927" s="5"/>
      <c r="B927" s="30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8.75" customHeight="1">
      <c r="A928" s="5"/>
      <c r="B928" s="30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8.75" customHeight="1">
      <c r="A929" s="5"/>
      <c r="B929" s="30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8.75" customHeight="1">
      <c r="A930" s="5"/>
      <c r="B930" s="30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8.75" customHeight="1">
      <c r="A931" s="5"/>
      <c r="B931" s="30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8.75" customHeight="1">
      <c r="A932" s="5"/>
      <c r="B932" s="30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8.75" customHeight="1">
      <c r="A933" s="5"/>
      <c r="B933" s="30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8.75" customHeight="1">
      <c r="A934" s="5"/>
      <c r="B934" s="30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8.75" customHeight="1">
      <c r="A935" s="5"/>
      <c r="B935" s="30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8.75" customHeight="1">
      <c r="A936" s="5"/>
      <c r="B936" s="30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8.75" customHeight="1">
      <c r="A937" s="5"/>
      <c r="B937" s="30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8.75" customHeight="1">
      <c r="A938" s="5"/>
      <c r="B938" s="30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8.75" customHeight="1">
      <c r="A939" s="5"/>
      <c r="B939" s="30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8.75" customHeight="1">
      <c r="A940" s="5"/>
      <c r="B940" s="30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8.75" customHeight="1">
      <c r="A941" s="5"/>
      <c r="B941" s="30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8.75" customHeight="1">
      <c r="A942" s="5"/>
      <c r="B942" s="30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8.75" customHeight="1">
      <c r="A943" s="5"/>
      <c r="B943" s="30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8.75" customHeight="1">
      <c r="A944" s="5"/>
      <c r="B944" s="30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8.75" customHeight="1">
      <c r="A945" s="5"/>
      <c r="B945" s="30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8.75" customHeight="1">
      <c r="A946" s="5"/>
      <c r="B946" s="30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8.75" customHeight="1">
      <c r="A947" s="5"/>
      <c r="B947" s="30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8.75" customHeight="1">
      <c r="A948" s="5"/>
      <c r="B948" s="30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8.75" customHeight="1">
      <c r="A949" s="5"/>
      <c r="B949" s="30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8.75" customHeight="1">
      <c r="A950" s="5"/>
      <c r="B950" s="30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8.75" customHeight="1">
      <c r="A951" s="5"/>
      <c r="B951" s="30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8.75" customHeight="1">
      <c r="A952" s="5"/>
      <c r="B952" s="30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8.75" customHeight="1">
      <c r="A953" s="5"/>
      <c r="B953" s="30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8.75" customHeight="1">
      <c r="A954" s="5"/>
      <c r="B954" s="30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8.75" customHeight="1">
      <c r="A955" s="5"/>
      <c r="B955" s="30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8.75" customHeight="1">
      <c r="A956" s="5"/>
      <c r="B956" s="30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8.75" customHeight="1">
      <c r="A957" s="5"/>
      <c r="B957" s="30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8.75" customHeight="1">
      <c r="A958" s="5"/>
      <c r="B958" s="30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8.75" customHeight="1">
      <c r="A959" s="5"/>
      <c r="B959" s="30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8.75" customHeight="1">
      <c r="A960" s="5"/>
      <c r="B960" s="30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8.75" customHeight="1">
      <c r="A961" s="5"/>
      <c r="B961" s="30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8.75" customHeight="1">
      <c r="A962" s="5"/>
      <c r="B962" s="30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8.75" customHeight="1">
      <c r="A963" s="5"/>
      <c r="B963" s="30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8.75" customHeight="1">
      <c r="A964" s="5"/>
      <c r="B964" s="30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8.75" customHeight="1">
      <c r="A965" s="5"/>
      <c r="B965" s="30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8.75" customHeight="1">
      <c r="A966" s="5"/>
      <c r="B966" s="30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8.75" customHeight="1">
      <c r="A967" s="5"/>
      <c r="B967" s="30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8.75" customHeight="1">
      <c r="A968" s="5"/>
      <c r="B968" s="30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8.75" customHeight="1">
      <c r="A969" s="5"/>
      <c r="B969" s="30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8.75" customHeight="1">
      <c r="A970" s="5"/>
      <c r="B970" s="30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8.75" customHeight="1">
      <c r="A971" s="5"/>
      <c r="B971" s="30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8.75" customHeight="1">
      <c r="A972" s="5"/>
      <c r="B972" s="30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8.75" customHeight="1">
      <c r="A973" s="5"/>
      <c r="B973" s="30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8.75" customHeight="1">
      <c r="A974" s="5"/>
      <c r="B974" s="30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8.75" customHeight="1">
      <c r="A975" s="5"/>
      <c r="B975" s="30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8.75" customHeight="1">
      <c r="A976" s="5"/>
      <c r="B976" s="30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8.75" customHeight="1">
      <c r="A977" s="5"/>
      <c r="B977" s="30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8.75" customHeight="1">
      <c r="A978" s="5"/>
      <c r="B978" s="30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8.75" customHeight="1">
      <c r="A979" s="5"/>
      <c r="B979" s="30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8.75" customHeight="1">
      <c r="A980" s="5"/>
      <c r="B980" s="30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8.75" customHeight="1">
      <c r="A981" s="5"/>
      <c r="B981" s="30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8.75" customHeight="1">
      <c r="A982" s="5"/>
      <c r="B982" s="30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8.75" customHeight="1">
      <c r="A983" s="5"/>
      <c r="B983" s="30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8.75" customHeight="1">
      <c r="A984" s="5"/>
      <c r="B984" s="30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8.75" customHeight="1">
      <c r="A985" s="5"/>
      <c r="B985" s="30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8.75" customHeight="1">
      <c r="A986" s="5"/>
      <c r="B986" s="30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8.75" customHeight="1">
      <c r="A987" s="5"/>
      <c r="B987" s="30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8.75" customHeight="1">
      <c r="A988" s="5"/>
      <c r="B988" s="30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8.75" customHeight="1">
      <c r="A989" s="5"/>
      <c r="B989" s="30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8.75" customHeight="1">
      <c r="A990" s="5"/>
      <c r="B990" s="30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8.75" customHeight="1">
      <c r="A991" s="5"/>
      <c r="B991" s="30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8.75" customHeight="1">
      <c r="A992" s="5"/>
      <c r="B992" s="30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8.75" customHeight="1">
      <c r="A993" s="5"/>
      <c r="B993" s="30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8.75" customHeight="1">
      <c r="A994" s="5"/>
      <c r="B994" s="30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8.75" customHeight="1">
      <c r="A995" s="5"/>
      <c r="B995" s="30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8.75" customHeight="1">
      <c r="A996" s="5"/>
      <c r="B996" s="30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8.75" customHeight="1">
      <c r="A997" s="5"/>
      <c r="B997" s="30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8.75" customHeight="1">
      <c r="A998" s="5"/>
      <c r="B998" s="30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8.75" customHeight="1">
      <c r="A999" s="5"/>
      <c r="B999" s="30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8.75" customHeight="1">
      <c r="A1000" s="5"/>
      <c r="B1000" s="30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A13:B13"/>
    <mergeCell ref="A14:B14"/>
    <mergeCell ref="A15:B15"/>
    <mergeCell ref="K21:L21"/>
  </mergeCells>
  <conditionalFormatting sqref="C15:Z15">
    <cfRule type="cellIs" dxfId="0" priority="1" operator="greaterThanOrEqual">
      <formula>25</formula>
    </cfRule>
  </conditionalFormatting>
  <dataValidations>
    <dataValidation type="list" allowBlank="1" showErrorMessage="1" sqref="B9">
      <formula1>衣服名冊</formula1>
    </dataValidation>
    <dataValidation type="list" allowBlank="1" showErrorMessage="1" sqref="B11">
      <formula1>鞋子名冊</formula1>
    </dataValidation>
    <dataValidation type="list" allowBlank="1" showErrorMessage="1" sqref="B10">
      <formula1>手套名冊</formula1>
    </dataValidation>
    <dataValidation type="list" allowBlank="1" showErrorMessage="1" sqref="B6">
      <formula1>主武名冊</formula1>
    </dataValidation>
    <dataValidation type="list" allowBlank="1" showErrorMessage="1" sqref="B2:B3">
      <formula1>飾品名冊</formula1>
    </dataValidation>
    <dataValidation type="list" allowBlank="1" showErrorMessage="1" sqref="B4:B5">
      <formula1>寶物名冊</formula1>
    </dataValidation>
    <dataValidation type="list" allowBlank="1" showErrorMessage="1" sqref="B7">
      <formula1>副武名冊</formula1>
    </dataValidation>
    <dataValidation type="list" allowBlank="1" showErrorMessage="1" sqref="B8">
      <formula1>頭盔名冊</formula1>
    </dataValidation>
    <dataValidation type="list" allowBlank="1" showErrorMessage="1" sqref="B12">
      <formula1>職業名冊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2.71"/>
    <col customWidth="1" min="2" max="2" width="27.29"/>
    <col customWidth="1" min="3" max="26" width="13.14"/>
  </cols>
  <sheetData>
    <row r="1" ht="18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4" t="s">
        <v>22</v>
      </c>
      <c r="X1" s="4" t="s">
        <v>23</v>
      </c>
      <c r="Y1" s="4" t="s">
        <v>24</v>
      </c>
      <c r="Z1" s="4" t="s">
        <v>25</v>
      </c>
    </row>
    <row r="2" ht="18.75" customHeight="1">
      <c r="A2" s="5" t="s">
        <v>26</v>
      </c>
      <c r="B2" s="34" t="s">
        <v>48</v>
      </c>
      <c r="C2" s="7" t="str">
        <f t="array" ref="C2">XLOOKUP($B2, '資料源(請謹慎編輯)'!$B:$B, '資料源(請謹慎編輯)'!C:C, 0)</f>
        <v/>
      </c>
      <c r="D2" s="8">
        <f t="array" ref="D2">XLOOKUP($B2, '資料源(請謹慎編輯)'!$B:$B, '資料源(請謹慎編輯)'!D:D, 0)</f>
        <v>1</v>
      </c>
      <c r="E2" s="7">
        <f t="array" ref="E2">XLOOKUP($B2, '資料源(請謹慎編輯)'!$B:$B, '資料源(請謹慎編輯)'!E:E, 0)</f>
        <v>1</v>
      </c>
      <c r="F2" s="8" t="str">
        <f t="array" ref="F2">XLOOKUP($B2, '資料源(請謹慎編輯)'!$B:$B, '資料源(請謹慎編輯)'!F:F, 0)</f>
        <v/>
      </c>
      <c r="G2" s="7" t="str">
        <f t="array" ref="G2">XLOOKUP($B2, '資料源(請謹慎編輯)'!$B:$B, '資料源(請謹慎編輯)'!G:G, 0)</f>
        <v/>
      </c>
      <c r="H2" s="8">
        <f t="array" ref="H2">XLOOKUP($B2, '資料源(請謹慎編輯)'!$B:$B, '資料源(請謹慎編輯)'!H:H, 0)</f>
        <v>1</v>
      </c>
      <c r="I2" s="7" t="str">
        <f t="array" ref="I2">XLOOKUP($B2, '資料源(請謹慎編輯)'!$B:$B, '資料源(請謹慎編輯)'!I:I, 0)</f>
        <v/>
      </c>
      <c r="J2" s="8" t="str">
        <f t="array" ref="J2">XLOOKUP($B2, '資料源(請謹慎編輯)'!$B:$B, '資料源(請謹慎編輯)'!J:J, 0)</f>
        <v/>
      </c>
      <c r="K2" s="7" t="str">
        <f t="array" ref="K2">XLOOKUP($B2, '資料源(請謹慎編輯)'!$B:$B, '資料源(請謹慎編輯)'!K:K, 0)</f>
        <v/>
      </c>
      <c r="L2" s="8" t="str">
        <f t="array" ref="L2">XLOOKUP($B2, '資料源(請謹慎編輯)'!$B:$B, '資料源(請謹慎編輯)'!L:L, 0)</f>
        <v/>
      </c>
      <c r="M2" s="9" t="str">
        <f t="array" ref="M2">XLOOKUP($B2, '資料源(請謹慎編輯)'!$B:$B, '資料源(請謹慎編輯)'!M:M, 0)</f>
        <v/>
      </c>
      <c r="N2" s="10" t="str">
        <f t="array" ref="N2">XLOOKUP($B2, '資料源(請謹慎編輯)'!$B:$B, '資料源(請謹慎編輯)'!N:N, 0)</f>
        <v/>
      </c>
      <c r="O2" s="9" t="str">
        <f t="array" ref="O2">XLOOKUP($B2, '資料源(請謹慎編輯)'!$B:$B, '資料源(請謹慎編輯)'!O:O, 0)</f>
        <v/>
      </c>
      <c r="P2" s="10" t="str">
        <f t="array" ref="P2">XLOOKUP($B2, '資料源(請謹慎編輯)'!$B:$B, '資料源(請謹慎編輯)'!P:P, 0)</f>
        <v/>
      </c>
      <c r="Q2" s="9" t="str">
        <f t="array" ref="Q2">XLOOKUP($B2, '資料源(請謹慎編輯)'!$B:$B, '資料源(請謹慎編輯)'!Q:Q, 0)</f>
        <v/>
      </c>
      <c r="R2" s="10" t="str">
        <f t="array" ref="R2">XLOOKUP($B2, '資料源(請謹慎編輯)'!$B:$B, '資料源(請謹慎編輯)'!R:R, 0)</f>
        <v/>
      </c>
      <c r="S2" s="9" t="str">
        <f t="array" ref="S2">XLOOKUP($B2, '資料源(請謹慎編輯)'!$B:$B, '資料源(請謹慎編輯)'!S:S, 0)</f>
        <v/>
      </c>
      <c r="T2" s="10" t="str">
        <f t="array" ref="T2">XLOOKUP($B2, '資料源(請謹慎編輯)'!$B:$B, '資料源(請謹慎編輯)'!T:T, 0)</f>
        <v/>
      </c>
      <c r="U2" s="9" t="str">
        <f t="array" ref="U2">XLOOKUP($B2, '資料源(請謹慎編輯)'!$B:$B, '資料源(請謹慎編輯)'!U:U, 0)</f>
        <v/>
      </c>
      <c r="V2" s="10" t="str">
        <f t="array" ref="V2">XLOOKUP($B2, '資料源(請謹慎編輯)'!$B:$B, '資料源(請謹慎編輯)'!V:V, 0)</f>
        <v/>
      </c>
      <c r="W2" s="9" t="str">
        <f t="array" ref="W2">XLOOKUP($B2, '資料源(請謹慎編輯)'!$B:$B, '資料源(請謹慎編輯)'!W:W, 0)</f>
        <v/>
      </c>
      <c r="X2" s="10" t="str">
        <f t="array" ref="X2">XLOOKUP($B2, '資料源(請謹慎編輯)'!$B:$B, '資料源(請謹慎編輯)'!X:X, 0)</f>
        <v/>
      </c>
      <c r="Y2" s="9" t="str">
        <f t="array" ref="Y2">XLOOKUP($B2, '資料源(請謹慎編輯)'!$B:$B, '資料源(請謹慎編輯)'!Y:Y, 0)</f>
        <v/>
      </c>
      <c r="Z2" s="11" t="str">
        <f t="array" ref="Z2">XLOOKUP($B2, '資料源(請謹慎編輯)'!$B:$B, '資料源(請謹慎編輯)'!Z:Z, 0)</f>
        <v/>
      </c>
    </row>
    <row r="3" ht="18.75" customHeight="1">
      <c r="A3" s="5" t="s">
        <v>26</v>
      </c>
      <c r="B3" s="35" t="s">
        <v>48</v>
      </c>
      <c r="C3" s="13" t="str">
        <f t="array" ref="C3">XLOOKUP($B3, '資料源(請謹慎編輯)'!$B:$B, '資料源(請謹慎編輯)'!C:C, 0)</f>
        <v/>
      </c>
      <c r="D3" s="14">
        <f t="array" ref="D3">XLOOKUP($B3, '資料源(請謹慎編輯)'!$B:$B, '資料源(請謹慎編輯)'!D:D, 0)</f>
        <v>1</v>
      </c>
      <c r="E3" s="13">
        <f t="array" ref="E3">XLOOKUP($B3, '資料源(請謹慎編輯)'!$B:$B, '資料源(請謹慎編輯)'!E:E, 0)</f>
        <v>1</v>
      </c>
      <c r="F3" s="14" t="str">
        <f t="array" ref="F3">XLOOKUP($B3, '資料源(請謹慎編輯)'!$B:$B, '資料源(請謹慎編輯)'!F:F, 0)</f>
        <v/>
      </c>
      <c r="G3" s="13" t="str">
        <f t="array" ref="G3">XLOOKUP($B3, '資料源(請謹慎編輯)'!$B:$B, '資料源(請謹慎編輯)'!G:G, 0)</f>
        <v/>
      </c>
      <c r="H3" s="14">
        <f t="array" ref="H3">XLOOKUP($B3, '資料源(請謹慎編輯)'!$B:$B, '資料源(請謹慎編輯)'!H:H, 0)</f>
        <v>1</v>
      </c>
      <c r="I3" s="13" t="str">
        <f t="array" ref="I3">XLOOKUP($B3, '資料源(請謹慎編輯)'!$B:$B, '資料源(請謹慎編輯)'!I:I, 0)</f>
        <v/>
      </c>
      <c r="J3" s="14" t="str">
        <f t="array" ref="J3">XLOOKUP($B3, '資料源(請謹慎編輯)'!$B:$B, '資料源(請謹慎編輯)'!J:J, 0)</f>
        <v/>
      </c>
      <c r="K3" s="13" t="str">
        <f t="array" ref="K3">XLOOKUP($B3, '資料源(請謹慎編輯)'!$B:$B, '資料源(請謹慎編輯)'!K:K, 0)</f>
        <v/>
      </c>
      <c r="L3" s="14" t="str">
        <f t="array" ref="L3">XLOOKUP($B3, '資料源(請謹慎編輯)'!$B:$B, '資料源(請謹慎編輯)'!L:L, 0)</f>
        <v/>
      </c>
      <c r="M3" s="13" t="str">
        <f t="array" ref="M3">XLOOKUP($B3, '資料源(請謹慎編輯)'!$B:$B, '資料源(請謹慎編輯)'!M:M, 0)</f>
        <v/>
      </c>
      <c r="N3" s="14" t="str">
        <f t="array" ref="N3">XLOOKUP($B3, '資料源(請謹慎編輯)'!$B:$B, '資料源(請謹慎編輯)'!N:N, 0)</f>
        <v/>
      </c>
      <c r="O3" s="15" t="str">
        <f t="array" ref="O3">XLOOKUP($B3, '資料源(請謹慎編輯)'!$B:$B, '資料源(請謹慎編輯)'!O:O, 0)</f>
        <v/>
      </c>
      <c r="P3" s="10" t="str">
        <f t="array" ref="P3">XLOOKUP($B3, '資料源(請謹慎編輯)'!$B:$B, '資料源(請謹慎編輯)'!P:P, 0)</f>
        <v/>
      </c>
      <c r="Q3" s="9" t="str">
        <f t="array" ref="Q3">XLOOKUP($B3, '資料源(請謹慎編輯)'!$B:$B, '資料源(請謹慎編輯)'!Q:Q, 0)</f>
        <v/>
      </c>
      <c r="R3" s="10" t="str">
        <f t="array" ref="R3">XLOOKUP($B3, '資料源(請謹慎編輯)'!$B:$B, '資料源(請謹慎編輯)'!R:R, 0)</f>
        <v/>
      </c>
      <c r="S3" s="9" t="str">
        <f t="array" ref="S3">XLOOKUP($B3, '資料源(請謹慎編輯)'!$B:$B, '資料源(請謹慎編輯)'!S:S, 0)</f>
        <v/>
      </c>
      <c r="T3" s="10" t="str">
        <f t="array" ref="T3">XLOOKUP($B3, '資料源(請謹慎編輯)'!$B:$B, '資料源(請謹慎編輯)'!T:T, 0)</f>
        <v/>
      </c>
      <c r="U3" s="9" t="str">
        <f t="array" ref="U3">XLOOKUP($B3, '資料源(請謹慎編輯)'!$B:$B, '資料源(請謹慎編輯)'!U:U, 0)</f>
        <v/>
      </c>
      <c r="V3" s="10" t="str">
        <f t="array" ref="V3">XLOOKUP($B3, '資料源(請謹慎編輯)'!$B:$B, '資料源(請謹慎編輯)'!V:V, 0)</f>
        <v/>
      </c>
      <c r="W3" s="9" t="str">
        <f t="array" ref="W3">XLOOKUP($B3, '資料源(請謹慎編輯)'!$B:$B, '資料源(請謹慎編輯)'!W:W, 0)</f>
        <v/>
      </c>
      <c r="X3" s="10" t="str">
        <f t="array" ref="X3">XLOOKUP($B3, '資料源(請謹慎編輯)'!$B:$B, '資料源(請謹慎編輯)'!X:X, 0)</f>
        <v/>
      </c>
      <c r="Y3" s="9" t="str">
        <f t="array" ref="Y3">XLOOKUP($B3, '資料源(請謹慎編輯)'!$B:$B, '資料源(請謹慎編輯)'!Y:Y, 0)</f>
        <v/>
      </c>
      <c r="Z3" s="11" t="str">
        <f t="array" ref="Z3">XLOOKUP($B3, '資料源(請謹慎編輯)'!$B:$B, '資料源(請謹慎編輯)'!Z:Z, 0)</f>
        <v/>
      </c>
    </row>
    <row r="4" ht="18.75" customHeight="1">
      <c r="A4" s="5" t="s">
        <v>28</v>
      </c>
      <c r="B4" s="35" t="s">
        <v>29</v>
      </c>
      <c r="C4" s="13">
        <f t="array" ref="C4">XLOOKUP($B4, '資料源(請謹慎編輯)'!$B:$B, '資料源(請謹慎編輯)'!C:C, 0)</f>
        <v>2</v>
      </c>
      <c r="D4" s="14" t="str">
        <f t="array" ref="D4">XLOOKUP($B4, '資料源(請謹慎編輯)'!$B:$B, '資料源(請謹慎編輯)'!D:D, 0)</f>
        <v/>
      </c>
      <c r="E4" s="13" t="str">
        <f t="array" ref="E4">XLOOKUP($B4, '資料源(請謹慎編輯)'!$B:$B, '資料源(請謹慎編輯)'!E:E, 0)</f>
        <v/>
      </c>
      <c r="F4" s="14">
        <f t="array" ref="F4">XLOOKUP($B4, '資料源(請謹慎編輯)'!$B:$B, '資料源(請謹慎編輯)'!F:F, 0)</f>
        <v>1</v>
      </c>
      <c r="G4" s="13">
        <f t="array" ref="G4">XLOOKUP($B4, '資料源(請謹慎編輯)'!$B:$B, '資料源(請謹慎編輯)'!G:G, 0)</f>
        <v>1</v>
      </c>
      <c r="H4" s="14" t="str">
        <f t="array" ref="H4">XLOOKUP($B4, '資料源(請謹慎編輯)'!$B:$B, '資料源(請謹慎編輯)'!H:H, 0)</f>
        <v/>
      </c>
      <c r="I4" s="13" t="str">
        <f t="array" ref="I4">XLOOKUP($B4, '資料源(請謹慎編輯)'!$B:$B, '資料源(請謹慎編輯)'!I:I, 0)</f>
        <v/>
      </c>
      <c r="J4" s="14" t="str">
        <f t="array" ref="J4">XLOOKUP($B4, '資料源(請謹慎編輯)'!$B:$B, '資料源(請謹慎編輯)'!J:J, 0)</f>
        <v/>
      </c>
      <c r="K4" s="13" t="str">
        <f t="array" ref="K4">XLOOKUP($B4, '資料源(請謹慎編輯)'!$B:$B, '資料源(請謹慎編輯)'!K:K, 0)</f>
        <v/>
      </c>
      <c r="L4" s="14" t="str">
        <f t="array" ref="L4">XLOOKUP($B4, '資料源(請謹慎編輯)'!$B:$B, '資料源(請謹慎編輯)'!L:L, 0)</f>
        <v/>
      </c>
      <c r="M4" s="13" t="str">
        <f t="array" ref="M4">XLOOKUP($B4, '資料源(請謹慎編輯)'!$B:$B, '資料源(請謹慎編輯)'!M:M, 0)</f>
        <v/>
      </c>
      <c r="N4" s="14" t="str">
        <f t="array" ref="N4">XLOOKUP($B4, '資料源(請謹慎編輯)'!$B:$B, '資料源(請謹慎編輯)'!N:N, 0)</f>
        <v/>
      </c>
      <c r="O4" s="9" t="str">
        <f t="array" ref="O4">XLOOKUP($B4, '資料源(請謹慎編輯)'!$B:$B, '資料源(請謹慎編輯)'!O:O, 0)</f>
        <v/>
      </c>
      <c r="P4" s="10" t="str">
        <f t="array" ref="P4">XLOOKUP($B4, '資料源(請謹慎編輯)'!$B:$B, '資料源(請謹慎編輯)'!P:P, 0)</f>
        <v/>
      </c>
      <c r="Q4" s="9" t="str">
        <f t="array" ref="Q4">XLOOKUP($B4, '資料源(請謹慎編輯)'!$B:$B, '資料源(請謹慎編輯)'!Q:Q, 0)</f>
        <v/>
      </c>
      <c r="R4" s="10" t="str">
        <f t="array" ref="R4">XLOOKUP($B4, '資料源(請謹慎編輯)'!$B:$B, '資料源(請謹慎編輯)'!R:R, 0)</f>
        <v/>
      </c>
      <c r="S4" s="9" t="str">
        <f t="array" ref="S4">XLOOKUP($B4, '資料源(請謹慎編輯)'!$B:$B, '資料源(請謹慎編輯)'!S:S, 0)</f>
        <v/>
      </c>
      <c r="T4" s="10" t="str">
        <f t="array" ref="T4">XLOOKUP($B4, '資料源(請謹慎編輯)'!$B:$B, '資料源(請謹慎編輯)'!T:T, 0)</f>
        <v/>
      </c>
      <c r="U4" s="9" t="str">
        <f t="array" ref="U4">XLOOKUP($B4, '資料源(請謹慎編輯)'!$B:$B, '資料源(請謹慎編輯)'!U:U, 0)</f>
        <v/>
      </c>
      <c r="V4" s="10" t="str">
        <f t="array" ref="V4">XLOOKUP($B4, '資料源(請謹慎編輯)'!$B:$B, '資料源(請謹慎編輯)'!V:V, 0)</f>
        <v/>
      </c>
      <c r="W4" s="9" t="str">
        <f t="array" ref="W4">XLOOKUP($B4, '資料源(請謹慎編輯)'!$B:$B, '資料源(請謹慎編輯)'!W:W, 0)</f>
        <v/>
      </c>
      <c r="X4" s="10" t="str">
        <f t="array" ref="X4">XLOOKUP($B4, '資料源(請謹慎編輯)'!$B:$B, '資料源(請謹慎編輯)'!X:X, 0)</f>
        <v/>
      </c>
      <c r="Y4" s="9" t="str">
        <f t="array" ref="Y4">XLOOKUP($B4, '資料源(請謹慎編輯)'!$B:$B, '資料源(請謹慎編輯)'!Y:Y, 0)</f>
        <v/>
      </c>
      <c r="Z4" s="11" t="str">
        <f t="array" ref="Z4">XLOOKUP($B4, '資料源(請謹慎編輯)'!$B:$B, '資料源(請謹慎編輯)'!Z:Z, 0)</f>
        <v/>
      </c>
    </row>
    <row r="5" ht="18.75" customHeight="1">
      <c r="A5" s="5" t="s">
        <v>28</v>
      </c>
      <c r="B5" s="35" t="s">
        <v>29</v>
      </c>
      <c r="C5" s="13">
        <f t="array" ref="C5">XLOOKUP($B5, '資料源(請謹慎編輯)'!$B:$B, '資料源(請謹慎編輯)'!C:C, 0)</f>
        <v>2</v>
      </c>
      <c r="D5" s="14" t="str">
        <f t="array" ref="D5">XLOOKUP($B5, '資料源(請謹慎編輯)'!$B:$B, '資料源(請謹慎編輯)'!D:D, 0)</f>
        <v/>
      </c>
      <c r="E5" s="13" t="str">
        <f t="array" ref="E5">XLOOKUP($B5, '資料源(請謹慎編輯)'!$B:$B, '資料源(請謹慎編輯)'!E:E, 0)</f>
        <v/>
      </c>
      <c r="F5" s="14">
        <f t="array" ref="F5">XLOOKUP($B5, '資料源(請謹慎編輯)'!$B:$B, '資料源(請謹慎編輯)'!F:F, 0)</f>
        <v>1</v>
      </c>
      <c r="G5" s="13">
        <f t="array" ref="G5">XLOOKUP($B5, '資料源(請謹慎編輯)'!$B:$B, '資料源(請謹慎編輯)'!G:G, 0)</f>
        <v>1</v>
      </c>
      <c r="H5" s="14" t="str">
        <f t="array" ref="H5">XLOOKUP($B5, '資料源(請謹慎編輯)'!$B:$B, '資料源(請謹慎編輯)'!H:H, 0)</f>
        <v/>
      </c>
      <c r="I5" s="13" t="str">
        <f t="array" ref="I5">XLOOKUP($B5, '資料源(請謹慎編輯)'!$B:$B, '資料源(請謹慎編輯)'!I:I, 0)</f>
        <v/>
      </c>
      <c r="J5" s="14" t="str">
        <f t="array" ref="J5">XLOOKUP($B5, '資料源(請謹慎編輯)'!$B:$B, '資料源(請謹慎編輯)'!J:J, 0)</f>
        <v/>
      </c>
      <c r="K5" s="13" t="str">
        <f t="array" ref="K5">XLOOKUP($B5, '資料源(請謹慎編輯)'!$B:$B, '資料源(請謹慎編輯)'!K:K, 0)</f>
        <v/>
      </c>
      <c r="L5" s="14" t="str">
        <f t="array" ref="L5">XLOOKUP($B5, '資料源(請謹慎編輯)'!$B:$B, '資料源(請謹慎編輯)'!L:L, 0)</f>
        <v/>
      </c>
      <c r="M5" s="13" t="str">
        <f t="array" ref="M5">XLOOKUP($B5, '資料源(請謹慎編輯)'!$B:$B, '資料源(請謹慎編輯)'!M:M, 0)</f>
        <v/>
      </c>
      <c r="N5" s="16" t="str">
        <f t="array" ref="N5">XLOOKUP($B5, '資料源(請謹慎編輯)'!$B:$B, '資料源(請謹慎編輯)'!N:N, 0)</f>
        <v/>
      </c>
      <c r="O5" s="9" t="str">
        <f t="array" ref="O5">XLOOKUP($B5, '資料源(請謹慎編輯)'!$B:$B, '資料源(請謹慎編輯)'!O:O, 0)</f>
        <v/>
      </c>
      <c r="P5" s="10" t="str">
        <f t="array" ref="P5">XLOOKUP($B5, '資料源(請謹慎編輯)'!$B:$B, '資料源(請謹慎編輯)'!P:P, 0)</f>
        <v/>
      </c>
      <c r="Q5" s="9" t="str">
        <f t="array" ref="Q5">XLOOKUP($B5, '資料源(請謹慎編輯)'!$B:$B, '資料源(請謹慎編輯)'!Q:Q, 0)</f>
        <v/>
      </c>
      <c r="R5" s="10" t="str">
        <f t="array" ref="R5">XLOOKUP($B5, '資料源(請謹慎編輯)'!$B:$B, '資料源(請謹慎編輯)'!R:R, 0)</f>
        <v/>
      </c>
      <c r="S5" s="9" t="str">
        <f t="array" ref="S5">XLOOKUP($B5, '資料源(請謹慎編輯)'!$B:$B, '資料源(請謹慎編輯)'!S:S, 0)</f>
        <v/>
      </c>
      <c r="T5" s="10" t="str">
        <f t="array" ref="T5">XLOOKUP($B5, '資料源(請謹慎編輯)'!$B:$B, '資料源(請謹慎編輯)'!T:T, 0)</f>
        <v/>
      </c>
      <c r="U5" s="9" t="str">
        <f t="array" ref="U5">XLOOKUP($B5, '資料源(請謹慎編輯)'!$B:$B, '資料源(請謹慎編輯)'!U:U, 0)</f>
        <v/>
      </c>
      <c r="V5" s="10" t="str">
        <f t="array" ref="V5">XLOOKUP($B5, '資料源(請謹慎編輯)'!$B:$B, '資料源(請謹慎編輯)'!V:V, 0)</f>
        <v/>
      </c>
      <c r="W5" s="9" t="str">
        <f t="array" ref="W5">XLOOKUP($B5, '資料源(請謹慎編輯)'!$B:$B, '資料源(請謹慎編輯)'!W:W, 0)</f>
        <v/>
      </c>
      <c r="X5" s="10" t="str">
        <f t="array" ref="X5">XLOOKUP($B5, '資料源(請謹慎編輯)'!$B:$B, '資料源(請謹慎編輯)'!X:X, 0)</f>
        <v/>
      </c>
      <c r="Y5" s="9" t="str">
        <f t="array" ref="Y5">XLOOKUP($B5, '資料源(請謹慎編輯)'!$B:$B, '資料源(請謹慎編輯)'!Y:Y, 0)</f>
        <v/>
      </c>
      <c r="Z5" s="11" t="str">
        <f t="array" ref="Z5">XLOOKUP($B5, '資料源(請謹慎編輯)'!$B:$B, '資料源(請謹慎編輯)'!Z:Z, 0)</f>
        <v/>
      </c>
    </row>
    <row r="6" ht="18.75" customHeight="1">
      <c r="A6" s="5" t="s">
        <v>30</v>
      </c>
      <c r="B6" s="35" t="s">
        <v>49</v>
      </c>
      <c r="C6" s="15" t="str">
        <f t="array" ref="C6">XLOOKUP($B6, '資料源(請謹慎編輯)'!$B:$B, '資料源(請謹慎編輯)'!C:C, 0)</f>
        <v/>
      </c>
      <c r="D6" s="16">
        <f t="array" ref="D6">XLOOKUP($B6, '資料源(請謹慎編輯)'!$B:$B, '資料源(請謹慎編輯)'!D:D, 0)</f>
        <v>3</v>
      </c>
      <c r="E6" s="15" t="str">
        <f t="array" ref="E6">XLOOKUP($B6, '資料源(請謹慎編輯)'!$B:$B, '資料源(請謹慎編輯)'!E:E, 0)</f>
        <v/>
      </c>
      <c r="F6" s="16">
        <f t="array" ref="F6">XLOOKUP($B6, '資料源(請謹慎編輯)'!$B:$B, '資料源(請謹慎編輯)'!F:F, 0)</f>
        <v>2</v>
      </c>
      <c r="G6" s="15">
        <f t="array" ref="G6">XLOOKUP($B6, '資料源(請謹慎編輯)'!$B:$B, '資料源(請謹慎編輯)'!G:G, 0)</f>
        <v>3</v>
      </c>
      <c r="H6" s="16" t="str">
        <f t="array" ref="H6">XLOOKUP($B6, '資料源(請謹慎編輯)'!$B:$B, '資料源(請謹慎編輯)'!H:H, 0)</f>
        <v/>
      </c>
      <c r="I6" s="15" t="str">
        <f t="array" ref="I6">XLOOKUP($B6, '資料源(請謹慎編輯)'!$B:$B, '資料源(請謹慎編輯)'!I:I, 0)</f>
        <v/>
      </c>
      <c r="J6" s="16" t="str">
        <f t="array" ref="J6">XLOOKUP($B6, '資料源(請謹慎編輯)'!$B:$B, '資料源(請謹慎編輯)'!J:J, 0)</f>
        <v/>
      </c>
      <c r="K6" s="15" t="str">
        <f t="array" ref="K6">XLOOKUP($B6, '資料源(請謹慎編輯)'!$B:$B, '資料源(請謹慎編輯)'!K:K, 0)</f>
        <v/>
      </c>
      <c r="L6" s="16" t="str">
        <f t="array" ref="L6">XLOOKUP($B6, '資料源(請謹慎編輯)'!$B:$B, '資料源(請謹慎編輯)'!L:L, 0)</f>
        <v/>
      </c>
      <c r="M6" s="15" t="str">
        <f t="array" ref="M6">XLOOKUP($B6, '資料源(請謹慎編輯)'!$B:$B, '資料源(請謹慎編輯)'!M:M, 0)</f>
        <v/>
      </c>
      <c r="N6" s="16" t="str">
        <f t="array" ref="N6">XLOOKUP($B6, '資料源(請謹慎編輯)'!$B:$B, '資料源(請謹慎編輯)'!N:N, 0)</f>
        <v/>
      </c>
      <c r="O6" s="9" t="str">
        <f t="array" ref="O6">XLOOKUP($B6, '資料源(請謹慎編輯)'!$B:$B, '資料源(請謹慎編輯)'!O:O, 0)</f>
        <v/>
      </c>
      <c r="P6" s="10" t="str">
        <f t="array" ref="P6">XLOOKUP($B6, '資料源(請謹慎編輯)'!$B:$B, '資料源(請謹慎編輯)'!P:P, 0)</f>
        <v/>
      </c>
      <c r="Q6" s="9" t="str">
        <f t="array" ref="Q6">XLOOKUP($B6, '資料源(請謹慎編輯)'!$B:$B, '資料源(請謹慎編輯)'!Q:Q, 0)</f>
        <v/>
      </c>
      <c r="R6" s="10" t="str">
        <f t="array" ref="R6">XLOOKUP($B6, '資料源(請謹慎編輯)'!$B:$B, '資料源(請謹慎編輯)'!R:R, 0)</f>
        <v/>
      </c>
      <c r="S6" s="9" t="str">
        <f t="array" ref="S6">XLOOKUP($B6, '資料源(請謹慎編輯)'!$B:$B, '資料源(請謹慎編輯)'!S:S, 0)</f>
        <v/>
      </c>
      <c r="T6" s="10" t="str">
        <f t="array" ref="T6">XLOOKUP($B6, '資料源(請謹慎編輯)'!$B:$B, '資料源(請謹慎編輯)'!T:T, 0)</f>
        <v/>
      </c>
      <c r="U6" s="9" t="str">
        <f t="array" ref="U6">XLOOKUP($B6, '資料源(請謹慎編輯)'!$B:$B, '資料源(請謹慎編輯)'!U:U, 0)</f>
        <v/>
      </c>
      <c r="V6" s="10" t="str">
        <f t="array" ref="V6">XLOOKUP($B6, '資料源(請謹慎編輯)'!$B:$B, '資料源(請謹慎編輯)'!V:V, 0)</f>
        <v/>
      </c>
      <c r="W6" s="9" t="str">
        <f t="array" ref="W6">XLOOKUP($B6, '資料源(請謹慎編輯)'!$B:$B, '資料源(請謹慎編輯)'!W:W, 0)</f>
        <v/>
      </c>
      <c r="X6" s="10" t="str">
        <f t="array" ref="X6">XLOOKUP($B6, '資料源(請謹慎編輯)'!$B:$B, '資料源(請謹慎編輯)'!X:X, 0)</f>
        <v/>
      </c>
      <c r="Y6" s="9" t="str">
        <f t="array" ref="Y6">XLOOKUP($B6, '資料源(請謹慎編輯)'!$B:$B, '資料源(請謹慎編輯)'!Y:Y, 0)</f>
        <v/>
      </c>
      <c r="Z6" s="11" t="str">
        <f t="array" ref="Z6">XLOOKUP($B6, '資料源(請謹慎編輯)'!$B:$B, '資料源(請謹慎編輯)'!Z:Z, 0)</f>
        <v/>
      </c>
    </row>
    <row r="7" ht="18.75" customHeight="1">
      <c r="A7" s="5" t="s">
        <v>32</v>
      </c>
      <c r="B7" s="35" t="s">
        <v>33</v>
      </c>
      <c r="C7" s="15">
        <f t="array" ref="C7">XLOOKUP($B7, '資料源(請謹慎編輯)'!$B:$B, '資料源(請謹慎編輯)'!C:C, 0)</f>
        <v>2</v>
      </c>
      <c r="D7" s="16" t="str">
        <f t="array" ref="D7">XLOOKUP($B7, '資料源(請謹慎編輯)'!$B:$B, '資料源(請謹慎編輯)'!D:D, 0)</f>
        <v/>
      </c>
      <c r="E7" s="15">
        <f t="array" ref="E7">XLOOKUP($B7, '資料源(請謹慎編輯)'!$B:$B, '資料源(請謹慎編輯)'!E:E, 0)</f>
        <v>2</v>
      </c>
      <c r="F7" s="16" t="str">
        <f t="array" ref="F7">XLOOKUP($B7, '資料源(請謹慎編輯)'!$B:$B, '資料源(請謹慎編輯)'!F:F, 0)</f>
        <v/>
      </c>
      <c r="G7" s="15">
        <f t="array" ref="G7">XLOOKUP($B7, '資料源(請謹慎編輯)'!$B:$B, '資料源(請謹慎編輯)'!G:G, 0)</f>
        <v>2</v>
      </c>
      <c r="H7" s="16" t="str">
        <f t="array" ref="H7">XLOOKUP($B7, '資料源(請謹慎編輯)'!$B:$B, '資料源(請謹慎編輯)'!H:H, 0)</f>
        <v/>
      </c>
      <c r="I7" s="15" t="str">
        <f t="array" ref="I7">XLOOKUP($B7, '資料源(請謹慎編輯)'!$B:$B, '資料源(請謹慎編輯)'!I:I, 0)</f>
        <v/>
      </c>
      <c r="J7" s="16" t="str">
        <f t="array" ref="J7">XLOOKUP($B7, '資料源(請謹慎編輯)'!$B:$B, '資料源(請謹慎編輯)'!J:J, 0)</f>
        <v/>
      </c>
      <c r="K7" s="15" t="str">
        <f t="array" ref="K7">XLOOKUP($B7, '資料源(請謹慎編輯)'!$B:$B, '資料源(請謹慎編輯)'!K:K, 0)</f>
        <v/>
      </c>
      <c r="L7" s="16" t="str">
        <f t="array" ref="L7">XLOOKUP($B7, '資料源(請謹慎編輯)'!$B:$B, '資料源(請謹慎編輯)'!L:L, 0)</f>
        <v/>
      </c>
      <c r="M7" s="15" t="str">
        <f t="array" ref="M7">XLOOKUP($B7, '資料源(請謹慎編輯)'!$B:$B, '資料源(請謹慎編輯)'!M:M, 0)</f>
        <v/>
      </c>
      <c r="N7" s="16" t="str">
        <f t="array" ref="N7">XLOOKUP($B7, '資料源(請謹慎編輯)'!$B:$B, '資料源(請謹慎編輯)'!N:N, 0)</f>
        <v/>
      </c>
      <c r="O7" s="9" t="str">
        <f t="array" ref="O7">XLOOKUP($B7, '資料源(請謹慎編輯)'!$B:$B, '資料源(請謹慎編輯)'!O:O, 0)</f>
        <v/>
      </c>
      <c r="P7" s="10" t="str">
        <f t="array" ref="P7">XLOOKUP($B7, '資料源(請謹慎編輯)'!$B:$B, '資料源(請謹慎編輯)'!P:P, 0)</f>
        <v/>
      </c>
      <c r="Q7" s="9" t="str">
        <f t="array" ref="Q7">XLOOKUP($B7, '資料源(請謹慎編輯)'!$B:$B, '資料源(請謹慎編輯)'!Q:Q, 0)</f>
        <v/>
      </c>
      <c r="R7" s="10" t="str">
        <f t="array" ref="R7">XLOOKUP($B7, '資料源(請謹慎編輯)'!$B:$B, '資料源(請謹慎編輯)'!R:R, 0)</f>
        <v/>
      </c>
      <c r="S7" s="9" t="str">
        <f t="array" ref="S7">XLOOKUP($B7, '資料源(請謹慎編輯)'!$B:$B, '資料源(請謹慎編輯)'!S:S, 0)</f>
        <v/>
      </c>
      <c r="T7" s="10" t="str">
        <f t="array" ref="T7">XLOOKUP($B7, '資料源(請謹慎編輯)'!$B:$B, '資料源(請謹慎編輯)'!T:T, 0)</f>
        <v/>
      </c>
      <c r="U7" s="9" t="str">
        <f t="array" ref="U7">XLOOKUP($B7, '資料源(請謹慎編輯)'!$B:$B, '資料源(請謹慎編輯)'!U:U, 0)</f>
        <v/>
      </c>
      <c r="V7" s="10" t="str">
        <f t="array" ref="V7">XLOOKUP($B7, '資料源(請謹慎編輯)'!$B:$B, '資料源(請謹慎編輯)'!V:V, 0)</f>
        <v/>
      </c>
      <c r="W7" s="9" t="str">
        <f t="array" ref="W7">XLOOKUP($B7, '資料源(請謹慎編輯)'!$B:$B, '資料源(請謹慎編輯)'!W:W, 0)</f>
        <v/>
      </c>
      <c r="X7" s="10" t="str">
        <f t="array" ref="X7">XLOOKUP($B7, '資料源(請謹慎編輯)'!$B:$B, '資料源(請謹慎編輯)'!X:X, 0)</f>
        <v/>
      </c>
      <c r="Y7" s="9" t="str">
        <f t="array" ref="Y7">XLOOKUP($B7, '資料源(請謹慎編輯)'!$B:$B, '資料源(請謹慎編輯)'!Y:Y, 0)</f>
        <v/>
      </c>
      <c r="Z7" s="11" t="str">
        <f t="array" ref="Z7">XLOOKUP($B7, '資料源(請謹慎編輯)'!$B:$B, '資料源(請謹慎編輯)'!Z:Z, 0)</f>
        <v/>
      </c>
    </row>
    <row r="8" ht="18.75" customHeight="1">
      <c r="A8" s="5" t="s">
        <v>34</v>
      </c>
      <c r="B8" s="35" t="s">
        <v>35</v>
      </c>
      <c r="C8" s="15" t="str">
        <f t="array" ref="C8">XLOOKUP($B8, '資料源(請謹慎編輯)'!$B:$B, '資料源(請謹慎編輯)'!C:C, 0)</f>
        <v/>
      </c>
      <c r="D8" s="16" t="str">
        <f t="array" ref="D8">XLOOKUP($B8, '資料源(請謹慎編輯)'!$B:$B, '資料源(請謹慎編輯)'!D:D, 0)</f>
        <v/>
      </c>
      <c r="E8" s="15">
        <f t="array" ref="E8">XLOOKUP($B8, '資料源(請謹慎編輯)'!$B:$B, '資料源(請謹慎編輯)'!E:E, 0)</f>
        <v>2</v>
      </c>
      <c r="F8" s="16">
        <f t="array" ref="F8">XLOOKUP($B8, '資料源(請謹慎編輯)'!$B:$B, '資料源(請謹慎編輯)'!F:F, 0)</f>
        <v>3</v>
      </c>
      <c r="G8" s="15">
        <f t="array" ref="G8">XLOOKUP($B8, '資料源(請謹慎編輯)'!$B:$B, '資料源(請謹慎編輯)'!G:G, 0)</f>
        <v>3</v>
      </c>
      <c r="H8" s="16" t="str">
        <f t="array" ref="H8">XLOOKUP($B8, '資料源(請謹慎編輯)'!$B:$B, '資料源(請謹慎編輯)'!H:H, 0)</f>
        <v/>
      </c>
      <c r="I8" s="15" t="str">
        <f t="array" ref="I8">XLOOKUP($B8, '資料源(請謹慎編輯)'!$B:$B, '資料源(請謹慎編輯)'!I:I, 0)</f>
        <v/>
      </c>
      <c r="J8" s="16" t="str">
        <f t="array" ref="J8">XLOOKUP($B8, '資料源(請謹慎編輯)'!$B:$B, '資料源(請謹慎編輯)'!J:J, 0)</f>
        <v/>
      </c>
      <c r="K8" s="15" t="str">
        <f t="array" ref="K8">XLOOKUP($B8, '資料源(請謹慎編輯)'!$B:$B, '資料源(請謹慎編輯)'!K:K, 0)</f>
        <v/>
      </c>
      <c r="L8" s="16" t="str">
        <f t="array" ref="L8">XLOOKUP($B8, '資料源(請謹慎編輯)'!$B:$B, '資料源(請謹慎編輯)'!L:L, 0)</f>
        <v/>
      </c>
      <c r="M8" s="15" t="str">
        <f t="array" ref="M8">XLOOKUP($B8, '資料源(請謹慎編輯)'!$B:$B, '資料源(請謹慎編輯)'!M:M, 0)</f>
        <v/>
      </c>
      <c r="N8" s="16" t="str">
        <f t="array" ref="N8">XLOOKUP($B8, '資料源(請謹慎編輯)'!$B:$B, '資料源(請謹慎編輯)'!N:N, 0)</f>
        <v/>
      </c>
      <c r="O8" s="9" t="str">
        <f t="array" ref="O8">XLOOKUP($B8, '資料源(請謹慎編輯)'!$B:$B, '資料源(請謹慎編輯)'!O:O, 0)</f>
        <v/>
      </c>
      <c r="P8" s="10" t="str">
        <f t="array" ref="P8">XLOOKUP($B8, '資料源(請謹慎編輯)'!$B:$B, '資料源(請謹慎編輯)'!P:P, 0)</f>
        <v/>
      </c>
      <c r="Q8" s="9" t="str">
        <f t="array" ref="Q8">XLOOKUP($B8, '資料源(請謹慎編輯)'!$B:$B, '資料源(請謹慎編輯)'!Q:Q, 0)</f>
        <v/>
      </c>
      <c r="R8" s="10" t="str">
        <f t="array" ref="R8">XLOOKUP($B8, '資料源(請謹慎編輯)'!$B:$B, '資料源(請謹慎編輯)'!R:R, 0)</f>
        <v/>
      </c>
      <c r="S8" s="9" t="str">
        <f t="array" ref="S8">XLOOKUP($B8, '資料源(請謹慎編輯)'!$B:$B, '資料源(請謹慎編輯)'!S:S, 0)</f>
        <v/>
      </c>
      <c r="T8" s="10" t="str">
        <f t="array" ref="T8">XLOOKUP($B8, '資料源(請謹慎編輯)'!$B:$B, '資料源(請謹慎編輯)'!T:T, 0)</f>
        <v/>
      </c>
      <c r="U8" s="9" t="str">
        <f t="array" ref="U8">XLOOKUP($B8, '資料源(請謹慎編輯)'!$B:$B, '資料源(請謹慎編輯)'!U:U, 0)</f>
        <v/>
      </c>
      <c r="V8" s="10" t="str">
        <f t="array" ref="V8">XLOOKUP($B8, '資料源(請謹慎編輯)'!$B:$B, '資料源(請謹慎編輯)'!V:V, 0)</f>
        <v/>
      </c>
      <c r="W8" s="9" t="str">
        <f t="array" ref="W8">XLOOKUP($B8, '資料源(請謹慎編輯)'!$B:$B, '資料源(請謹慎編輯)'!W:W, 0)</f>
        <v/>
      </c>
      <c r="X8" s="10" t="str">
        <f t="array" ref="X8">XLOOKUP($B8, '資料源(請謹慎編輯)'!$B:$B, '資料源(請謹慎編輯)'!X:X, 0)</f>
        <v/>
      </c>
      <c r="Y8" s="9" t="str">
        <f t="array" ref="Y8">XLOOKUP($B8, '資料源(請謹慎編輯)'!$B:$B, '資料源(請謹慎編輯)'!Y:Y, 0)</f>
        <v/>
      </c>
      <c r="Z8" s="11" t="str">
        <f t="array" ref="Z8">XLOOKUP($B8, '資料源(請謹慎編輯)'!$B:$B, '資料源(請謹慎編輯)'!Z:Z, 0)</f>
        <v/>
      </c>
    </row>
    <row r="9" ht="18.75" customHeight="1">
      <c r="A9" s="5" t="s">
        <v>36</v>
      </c>
      <c r="B9" s="35" t="s">
        <v>37</v>
      </c>
      <c r="C9" s="7">
        <f t="array" ref="C9">XLOOKUP($B9, '資料源(請謹慎編輯)'!$B:$B, '資料源(請謹慎編輯)'!C:C, 0)</f>
        <v>3</v>
      </c>
      <c r="D9" s="8" t="str">
        <f t="array" ref="D9">XLOOKUP($B9, '資料源(請謹慎編輯)'!$B:$B, '資料源(請謹慎編輯)'!D:D, 0)</f>
        <v/>
      </c>
      <c r="E9" s="7" t="str">
        <f t="array" ref="E9">XLOOKUP($B9, '資料源(請謹慎編輯)'!$B:$B, '資料源(請謹慎編輯)'!E:E, 0)</f>
        <v/>
      </c>
      <c r="F9" s="8">
        <f t="array" ref="F9">XLOOKUP($B9, '資料源(請謹慎編輯)'!$B:$B, '資料源(請謹慎編輯)'!F:F, 0)</f>
        <v>3</v>
      </c>
      <c r="G9" s="7" t="str">
        <f t="array" ref="G9">XLOOKUP($B9, '資料源(請謹慎編輯)'!$B:$B, '資料源(請謹慎編輯)'!G:G, 0)</f>
        <v/>
      </c>
      <c r="H9" s="8" t="str">
        <f t="array" ref="H9">XLOOKUP($B9, '資料源(請謹慎編輯)'!$B:$B, '資料源(請謹慎編輯)'!H:H, 0)</f>
        <v/>
      </c>
      <c r="I9" s="7" t="str">
        <f t="array" ref="I9">XLOOKUP($B9, '資料源(請謹慎編輯)'!$B:$B, '資料源(請謹慎編輯)'!I:I, 0)</f>
        <v/>
      </c>
      <c r="J9" s="8">
        <f t="array" ref="J9">XLOOKUP($B9, '資料源(請謹慎編輯)'!$B:$B, '資料源(請謹慎編輯)'!J:J, 0)</f>
        <v>2</v>
      </c>
      <c r="K9" s="7" t="str">
        <f t="array" ref="K9">XLOOKUP($B9, '資料源(請謹慎編輯)'!$B:$B, '資料源(請謹慎編輯)'!K:K, 0)</f>
        <v/>
      </c>
      <c r="L9" s="8" t="str">
        <f t="array" ref="L9">XLOOKUP($B9, '資料源(請謹慎編輯)'!$B:$B, '資料源(請謹慎編輯)'!L:L, 0)</f>
        <v/>
      </c>
      <c r="M9" s="7" t="str">
        <f t="array" ref="M9">XLOOKUP($B9, '資料源(請謹慎編輯)'!$B:$B, '資料源(請謹慎編輯)'!M:M, 0)</f>
        <v/>
      </c>
      <c r="N9" s="8" t="str">
        <f t="array" ref="N9">XLOOKUP($B9, '資料源(請謹慎編輯)'!$B:$B, '資料源(請謹慎編輯)'!N:N, 0)</f>
        <v/>
      </c>
      <c r="O9" s="9" t="str">
        <f t="array" ref="O9">XLOOKUP($B9, '資料源(請謹慎編輯)'!$B:$B, '資料源(請謹慎編輯)'!O:O, 0)</f>
        <v/>
      </c>
      <c r="P9" s="10" t="str">
        <f t="array" ref="P9">XLOOKUP($B9, '資料源(請謹慎編輯)'!$B:$B, '資料源(請謹慎編輯)'!P:P, 0)</f>
        <v/>
      </c>
      <c r="Q9" s="9" t="str">
        <f t="array" ref="Q9">XLOOKUP($B9, '資料源(請謹慎編輯)'!$B:$B, '資料源(請謹慎編輯)'!Q:Q, 0)</f>
        <v/>
      </c>
      <c r="R9" s="10" t="str">
        <f t="array" ref="R9">XLOOKUP($B9, '資料源(請謹慎編輯)'!$B:$B, '資料源(請謹慎編輯)'!R:R, 0)</f>
        <v/>
      </c>
      <c r="S9" s="9" t="str">
        <f t="array" ref="S9">XLOOKUP($B9, '資料源(請謹慎編輯)'!$B:$B, '資料源(請謹慎編輯)'!S:S, 0)</f>
        <v/>
      </c>
      <c r="T9" s="10" t="str">
        <f t="array" ref="T9">XLOOKUP($B9, '資料源(請謹慎編輯)'!$B:$B, '資料源(請謹慎編輯)'!T:T, 0)</f>
        <v/>
      </c>
      <c r="U9" s="9" t="str">
        <f t="array" ref="U9">XLOOKUP($B9, '資料源(請謹慎編輯)'!$B:$B, '資料源(請謹慎編輯)'!U:U, 0)</f>
        <v/>
      </c>
      <c r="V9" s="10" t="str">
        <f t="array" ref="V9">XLOOKUP($B9, '資料源(請謹慎編輯)'!$B:$B, '資料源(請謹慎編輯)'!V:V, 0)</f>
        <v/>
      </c>
      <c r="W9" s="9" t="str">
        <f t="array" ref="W9">XLOOKUP($B9, '資料源(請謹慎編輯)'!$B:$B, '資料源(請謹慎編輯)'!W:W, 0)</f>
        <v/>
      </c>
      <c r="X9" s="10" t="str">
        <f t="array" ref="X9">XLOOKUP($B9, '資料源(請謹慎編輯)'!$B:$B, '資料源(請謹慎編輯)'!X:X, 0)</f>
        <v/>
      </c>
      <c r="Y9" s="9" t="str">
        <f t="array" ref="Y9">XLOOKUP($B9, '資料源(請謹慎編輯)'!$B:$B, '資料源(請謹慎編輯)'!Y:Y, 0)</f>
        <v/>
      </c>
      <c r="Z9" s="11" t="str">
        <f t="array" ref="Z9">XLOOKUP($B9, '資料源(請謹慎編輯)'!$B:$B, '資料源(請謹慎編輯)'!Z:Z, 0)</f>
        <v/>
      </c>
    </row>
    <row r="10" ht="18.75" customHeight="1">
      <c r="A10" s="5" t="s">
        <v>38</v>
      </c>
      <c r="B10" s="35" t="s">
        <v>50</v>
      </c>
      <c r="C10" s="15" t="str">
        <f t="array" ref="C10">XLOOKUP($B10, '資料源(請謹慎編輯)'!$B:$B, '資料源(請謹慎編輯)'!C:C, 0)</f>
        <v/>
      </c>
      <c r="D10" s="16">
        <f t="array" ref="D10">XLOOKUP($B10, '資料源(請謹慎編輯)'!$B:$B, '資料源(請謹慎編輯)'!D:D, 0)</f>
        <v>1</v>
      </c>
      <c r="E10" s="15">
        <f t="array" ref="E10">XLOOKUP($B10, '資料源(請謹慎編輯)'!$B:$B, '資料源(請謹慎編輯)'!E:E, 0)</f>
        <v>2</v>
      </c>
      <c r="F10" s="16" t="str">
        <f t="array" ref="F10">XLOOKUP($B10, '資料源(請謹慎編輯)'!$B:$B, '資料源(請謹慎編輯)'!F:F, 0)</f>
        <v/>
      </c>
      <c r="G10" s="15" t="str">
        <f t="array" ref="G10">XLOOKUP($B10, '資料源(請謹慎編輯)'!$B:$B, '資料源(請謹慎編輯)'!G:G, 0)</f>
        <v/>
      </c>
      <c r="H10" s="16">
        <f t="array" ref="H10">XLOOKUP($B10, '資料源(請謹慎編輯)'!$B:$B, '資料源(請謹慎編輯)'!H:H, 0)</f>
        <v>3</v>
      </c>
      <c r="I10" s="15" t="str">
        <f t="array" ref="I10">XLOOKUP($B10, '資料源(請謹慎編輯)'!$B:$B, '資料源(請謹慎編輯)'!I:I, 0)</f>
        <v/>
      </c>
      <c r="J10" s="16" t="str">
        <f t="array" ref="J10">XLOOKUP($B10, '資料源(請謹慎編輯)'!$B:$B, '資料源(請謹慎編輯)'!J:J, 0)</f>
        <v/>
      </c>
      <c r="K10" s="15" t="str">
        <f t="array" ref="K10">XLOOKUP($B10, '資料源(請謹慎編輯)'!$B:$B, '資料源(請謹慎編輯)'!K:K, 0)</f>
        <v/>
      </c>
      <c r="L10" s="16" t="str">
        <f t="array" ref="L10">XLOOKUP($B10, '資料源(請謹慎編輯)'!$B:$B, '資料源(請謹慎編輯)'!L:L, 0)</f>
        <v/>
      </c>
      <c r="M10" s="15" t="str">
        <f t="array" ref="M10">XLOOKUP($B10, '資料源(請謹慎編輯)'!$B:$B, '資料源(請謹慎編輯)'!M:M, 0)</f>
        <v/>
      </c>
      <c r="N10" s="16" t="str">
        <f t="array" ref="N10">XLOOKUP($B10, '資料源(請謹慎編輯)'!$B:$B, '資料源(請謹慎編輯)'!N:N, 0)</f>
        <v/>
      </c>
      <c r="O10" s="9" t="str">
        <f t="array" ref="O10">XLOOKUP($B10, '資料源(請謹慎編輯)'!$B:$B, '資料源(請謹慎編輯)'!O:O, 0)</f>
        <v/>
      </c>
      <c r="P10" s="10" t="str">
        <f t="array" ref="P10">XLOOKUP($B10, '資料源(請謹慎編輯)'!$B:$B, '資料源(請謹慎編輯)'!P:P, 0)</f>
        <v/>
      </c>
      <c r="Q10" s="9" t="str">
        <f t="array" ref="Q10">XLOOKUP($B10, '資料源(請謹慎編輯)'!$B:$B, '資料源(請謹慎編輯)'!Q:Q, 0)</f>
        <v/>
      </c>
      <c r="R10" s="10" t="str">
        <f t="array" ref="R10">XLOOKUP($B10, '資料源(請謹慎編輯)'!$B:$B, '資料源(請謹慎編輯)'!R:R, 0)</f>
        <v/>
      </c>
      <c r="S10" s="9" t="str">
        <f t="array" ref="S10">XLOOKUP($B10, '資料源(請謹慎編輯)'!$B:$B, '資料源(請謹慎編輯)'!S:S, 0)</f>
        <v/>
      </c>
      <c r="T10" s="10" t="str">
        <f t="array" ref="T10">XLOOKUP($B10, '資料源(請謹慎編輯)'!$B:$B, '資料源(請謹慎編輯)'!T:T, 0)</f>
        <v/>
      </c>
      <c r="U10" s="9" t="str">
        <f t="array" ref="U10">XLOOKUP($B10, '資料源(請謹慎編輯)'!$B:$B, '資料源(請謹慎編輯)'!U:U, 0)</f>
        <v/>
      </c>
      <c r="V10" s="10" t="str">
        <f t="array" ref="V10">XLOOKUP($B10, '資料源(請謹慎編輯)'!$B:$B, '資料源(請謹慎編輯)'!V:V, 0)</f>
        <v/>
      </c>
      <c r="W10" s="9" t="str">
        <f t="array" ref="W10">XLOOKUP($B10, '資料源(請謹慎編輯)'!$B:$B, '資料源(請謹慎編輯)'!W:W, 0)</f>
        <v/>
      </c>
      <c r="X10" s="10" t="str">
        <f t="array" ref="X10">XLOOKUP($B10, '資料源(請謹慎編輯)'!$B:$B, '資料源(請謹慎編輯)'!X:X, 0)</f>
        <v/>
      </c>
      <c r="Y10" s="9" t="str">
        <f t="array" ref="Y10">XLOOKUP($B10, '資料源(請謹慎編輯)'!$B:$B, '資料源(請謹慎編輯)'!Y:Y, 0)</f>
        <v/>
      </c>
      <c r="Z10" s="11" t="str">
        <f t="array" ref="Z10">XLOOKUP($B10, '資料源(請謹慎編輯)'!$B:$B, '資料源(請謹慎編輯)'!Z:Z, 0)</f>
        <v/>
      </c>
    </row>
    <row r="11" ht="18.75" customHeight="1">
      <c r="A11" s="5" t="s">
        <v>40</v>
      </c>
      <c r="B11" s="35" t="s">
        <v>51</v>
      </c>
      <c r="C11" s="15" t="str">
        <f t="array" ref="C11">XLOOKUP($B11, '資料源(請謹慎編輯)'!$B:$B, '資料源(請謹慎編輯)'!C:C, 0)</f>
        <v/>
      </c>
      <c r="D11" s="16" t="str">
        <f t="array" ref="D11">XLOOKUP($B11, '資料源(請謹慎編輯)'!$B:$B, '資料源(請謹慎編輯)'!D:D, 0)</f>
        <v/>
      </c>
      <c r="E11" s="15">
        <f t="array" ref="E11">XLOOKUP($B11, '資料源(請謹慎編輯)'!$B:$B, '資料源(請謹慎編輯)'!E:E, 0)</f>
        <v>2</v>
      </c>
      <c r="F11" s="16" t="str">
        <f t="array" ref="F11">XLOOKUP($B11, '資料源(請謹慎編輯)'!$B:$B, '資料源(請謹慎編輯)'!F:F, 0)</f>
        <v/>
      </c>
      <c r="G11" s="15" t="str">
        <f t="array" ref="G11">XLOOKUP($B11, '資料源(請謹慎編輯)'!$B:$B, '資料源(請謹慎編輯)'!G:G, 0)</f>
        <v/>
      </c>
      <c r="H11" s="16">
        <f t="array" ref="H11">XLOOKUP($B11, '資料源(請謹慎編輯)'!$B:$B, '資料源(請謹慎編輯)'!H:H, 0)</f>
        <v>2</v>
      </c>
      <c r="I11" s="15">
        <f t="array" ref="I11">XLOOKUP($B11, '資料源(請謹慎編輯)'!$B:$B, '資料源(請謹慎編輯)'!I:I, 0)</f>
        <v>1</v>
      </c>
      <c r="J11" s="16" t="str">
        <f t="array" ref="J11">XLOOKUP($B11, '資料源(請謹慎編輯)'!$B:$B, '資料源(請謹慎編輯)'!J:J, 0)</f>
        <v/>
      </c>
      <c r="K11" s="15" t="str">
        <f t="array" ref="K11">XLOOKUP($B11, '資料源(請謹慎編輯)'!$B:$B, '資料源(請謹慎編輯)'!K:K, 0)</f>
        <v/>
      </c>
      <c r="L11" s="16" t="str">
        <f t="array" ref="L11">XLOOKUP($B11, '資料源(請謹慎編輯)'!$B:$B, '資料源(請謹慎編輯)'!L:L, 0)</f>
        <v/>
      </c>
      <c r="M11" s="15" t="str">
        <f t="array" ref="M11">XLOOKUP($B11, '資料源(請謹慎編輯)'!$B:$B, '資料源(請謹慎編輯)'!M:M, 0)</f>
        <v/>
      </c>
      <c r="N11" s="16" t="str">
        <f t="array" ref="N11">XLOOKUP($B11, '資料源(請謹慎編輯)'!$B:$B, '資料源(請謹慎編輯)'!N:N, 0)</f>
        <v/>
      </c>
      <c r="O11" s="9" t="str">
        <f t="array" ref="O11">XLOOKUP($B11, '資料源(請謹慎編輯)'!$B:$B, '資料源(請謹慎編輯)'!O:O, 0)</f>
        <v/>
      </c>
      <c r="P11" s="10" t="str">
        <f t="array" ref="P11">XLOOKUP($B11, '資料源(請謹慎編輯)'!$B:$B, '資料源(請謹慎編輯)'!P:P, 0)</f>
        <v/>
      </c>
      <c r="Q11" s="9" t="str">
        <f t="array" ref="Q11">XLOOKUP($B11, '資料源(請謹慎編輯)'!$B:$B, '資料源(請謹慎編輯)'!Q:Q, 0)</f>
        <v/>
      </c>
      <c r="R11" s="10" t="str">
        <f t="array" ref="R11">XLOOKUP($B11, '資料源(請謹慎編輯)'!$B:$B, '資料源(請謹慎編輯)'!R:R, 0)</f>
        <v/>
      </c>
      <c r="S11" s="9" t="str">
        <f t="array" ref="S11">XLOOKUP($B11, '資料源(請謹慎編輯)'!$B:$B, '資料源(請謹慎編輯)'!S:S, 0)</f>
        <v/>
      </c>
      <c r="T11" s="10" t="str">
        <f t="array" ref="T11">XLOOKUP($B11, '資料源(請謹慎編輯)'!$B:$B, '資料源(請謹慎編輯)'!T:T, 0)</f>
        <v/>
      </c>
      <c r="U11" s="9" t="str">
        <f t="array" ref="U11">XLOOKUP($B11, '資料源(請謹慎編輯)'!$B:$B, '資料源(請謹慎編輯)'!U:U, 0)</f>
        <v/>
      </c>
      <c r="V11" s="10" t="str">
        <f t="array" ref="V11">XLOOKUP($B11, '資料源(請謹慎編輯)'!$B:$B, '資料源(請謹慎編輯)'!V:V, 0)</f>
        <v/>
      </c>
      <c r="W11" s="9" t="str">
        <f t="array" ref="W11">XLOOKUP($B11, '資料源(請謹慎編輯)'!$B:$B, '資料源(請謹慎編輯)'!W:W, 0)</f>
        <v/>
      </c>
      <c r="X11" s="10" t="str">
        <f t="array" ref="X11">XLOOKUP($B11, '資料源(請謹慎編輯)'!$B:$B, '資料源(請謹慎編輯)'!X:X, 0)</f>
        <v/>
      </c>
      <c r="Y11" s="9" t="str">
        <f t="array" ref="Y11">XLOOKUP($B11, '資料源(請謹慎編輯)'!$B:$B, '資料源(請謹慎編輯)'!Y:Y, 0)</f>
        <v/>
      </c>
      <c r="Z11" s="11" t="str">
        <f t="array" ref="Z11">XLOOKUP($B11, '資料源(請謹慎編輯)'!$B:$B, '資料源(請謹慎編輯)'!Z:Z, 0)</f>
        <v/>
      </c>
    </row>
    <row r="12" ht="18.75" customHeight="1">
      <c r="A12" s="17" t="s">
        <v>42</v>
      </c>
      <c r="B12" s="36" t="s">
        <v>43</v>
      </c>
      <c r="C12" s="15" t="str">
        <f t="array" ref="C12">XLOOKUP($B12, '資料源(請謹慎編輯)'!$B$161:$B$170, '資料源(請謹慎編輯)'!C$161:C$170, 0)</f>
        <v/>
      </c>
      <c r="D12" s="16">
        <f t="array" ref="D12">XLOOKUP($B12, '資料源(請謹慎編輯)'!$B$161:$B$170, '資料源(請謹慎編輯)'!D$161:D$170, 0)</f>
        <v>1</v>
      </c>
      <c r="E12" s="15" t="str">
        <f t="array" ref="E12">XLOOKUP($B12, '資料源(請謹慎編輯)'!$B$161:$B$170, '資料源(請謹慎編輯)'!E$161:E$170, 0)</f>
        <v/>
      </c>
      <c r="F12" s="16">
        <f t="array" ref="F12">XLOOKUP($B12, '資料源(請謹慎編輯)'!$B$161:$B$170, '資料源(請謹慎編輯)'!F$161:F$170, 0)</f>
        <v>1</v>
      </c>
      <c r="G12" s="15" t="str">
        <f t="array" ref="G12">XLOOKUP($B12, '資料源(請謹慎編輯)'!$B$161:$B$170, '資料源(請謹慎編輯)'!G$161:G$170, 0)</f>
        <v/>
      </c>
      <c r="H12" s="16" t="str">
        <f t="array" ref="H12">XLOOKUP($B12, '資料源(請謹慎編輯)'!$B$161:$B$170, '資料源(請謹慎編輯)'!H$161:H$170, 0)</f>
        <v/>
      </c>
      <c r="I12" s="15" t="str">
        <f t="array" ref="I12">XLOOKUP($B12, '資料源(請謹慎編輯)'!$B$161:$B$170, '資料源(請謹慎編輯)'!I$161:I$170, 0)</f>
        <v/>
      </c>
      <c r="J12" s="16" t="str">
        <f t="array" ref="J12">XLOOKUP($B12, '資料源(請謹慎編輯)'!$B$161:$B$170, '資料源(請謹慎編輯)'!J$161:J$170, 0)</f>
        <v/>
      </c>
      <c r="K12" s="15" t="str">
        <f t="array" ref="K12">XLOOKUP($B12, '資料源(請謹慎編輯)'!$B$161:$B$170, '資料源(請謹慎編輯)'!K$161:K$170, 0)</f>
        <v/>
      </c>
      <c r="L12" s="16" t="str">
        <f t="array" ref="L12">XLOOKUP($B12, '資料源(請謹慎編輯)'!$B$161:$B$170, '資料源(請謹慎編輯)'!L$161:L$170, 0)</f>
        <v/>
      </c>
      <c r="M12" s="15" t="str">
        <f t="array" ref="M12">XLOOKUP($B12, '資料源(請謹慎編輯)'!$B$161:$B$170, '資料源(請謹慎編輯)'!M$161:M$170, 0)</f>
        <v/>
      </c>
      <c r="N12" s="16" t="str">
        <f t="array" ref="N12">XLOOKUP($B12, '資料源(請謹慎編輯)'!$B$161:$B$170, '資料源(請謹慎編輯)'!N$161:N$170, 0)</f>
        <v/>
      </c>
      <c r="O12" s="15" t="str">
        <f t="array" ref="O12">XLOOKUP($B12, '資料源(請謹慎編輯)'!$B$161:$B$170, '資料源(請謹慎編輯)'!O$161:O$170, 0)</f>
        <v/>
      </c>
      <c r="P12" s="16">
        <f t="array" ref="P12">XLOOKUP($B12, '資料源(請謹慎編輯)'!$B$161:$B$170, '資料源(請謹慎編輯)'!P$161:P$170, 0)</f>
        <v>1</v>
      </c>
      <c r="Q12" s="15" t="str">
        <f t="array" ref="Q12">XLOOKUP($B12, '資料源(請謹慎編輯)'!$B$161:$B$170, '資料源(請謹慎編輯)'!Q$161:Q$170, 0)</f>
        <v/>
      </c>
      <c r="R12" s="16">
        <f t="array" ref="R12">XLOOKUP($B12, '資料源(請謹慎編輯)'!$B$161:$B$170, '資料源(請謹慎編輯)'!R$161:R$170, 0)</f>
        <v>1</v>
      </c>
      <c r="S12" s="15" t="str">
        <f t="array" ref="S12">XLOOKUP($B12, '資料源(請謹慎編輯)'!$B$161:$B$170, '資料源(請謹慎編輯)'!S$161:S$170, 0)</f>
        <v/>
      </c>
      <c r="T12" s="16" t="str">
        <f t="array" ref="T12">XLOOKUP($B12, '資料源(請謹慎編輯)'!$B$161:$B$170, '資料源(請謹慎編輯)'!T$161:T$170, 0)</f>
        <v/>
      </c>
      <c r="U12" s="15" t="str">
        <f t="array" ref="U12">XLOOKUP($B12, '資料源(請謹慎編輯)'!$B$161:$B$170, '資料源(請謹慎編輯)'!U$161:U$170, 0)</f>
        <v/>
      </c>
      <c r="V12" s="16" t="str">
        <f t="array" ref="V12">XLOOKUP($B12, '資料源(請謹慎編輯)'!$B$161:$B$170, '資料源(請謹慎編輯)'!V$161:V$170, 0)</f>
        <v/>
      </c>
      <c r="W12" s="15" t="str">
        <f t="array" ref="W12">XLOOKUP($B12, '資料源(請謹慎編輯)'!$B$161:$B$170, '資料源(請謹慎編輯)'!W$161:W$170, 0)</f>
        <v/>
      </c>
      <c r="X12" s="16" t="str">
        <f t="array" ref="X12">XLOOKUP($B12, '資料源(請謹慎編輯)'!$B$161:$B$170, '資料源(請謹慎編輯)'!X$161:X$170, 0)</f>
        <v/>
      </c>
      <c r="Y12" s="15" t="str">
        <f t="array" ref="Y12">XLOOKUP($B12, '資料源(請謹慎編輯)'!$B$161:$B$170, '資料源(請謹慎編輯)'!Y$161:Y$170, 0)</f>
        <v/>
      </c>
      <c r="Z12" s="19" t="str">
        <f t="array" ref="Z12">XLOOKUP($B12, '資料源(請謹慎編輯)'!$B$161:$B$170, '資料源(請謹慎編輯)'!Z$161:Z$170, 0)</f>
        <v/>
      </c>
    </row>
    <row r="13" ht="18.75" customHeight="1">
      <c r="A13" s="20" t="s">
        <v>44</v>
      </c>
      <c r="B13" s="21"/>
      <c r="C13" s="13">
        <f t="array" ref="C13">XLOOKUP($B12, '資料源(請謹慎編輯)'!$B$161:$B$170, '資料源(請謹慎編輯)'!C$173:C$182, 0)</f>
        <v>15</v>
      </c>
      <c r="D13" s="14">
        <f t="array" ref="D13">XLOOKUP($B12, '資料源(請謹慎編輯)'!$B$161:$B$170, '資料源(請謹慎編輯)'!D$173:D$182, 0)</f>
        <v>15</v>
      </c>
      <c r="E13" s="13">
        <f t="array" ref="E13">XLOOKUP($B12, '資料源(請謹慎編輯)'!$B$161:$B$170, '資料源(請謹慎編輯)'!E$173:E$182, 0)</f>
        <v>15</v>
      </c>
      <c r="F13" s="14">
        <f t="array" ref="F13">XLOOKUP($B12, '資料源(請謹慎編輯)'!$B$161:$B$170, '資料源(請謹慎編輯)'!F$173:F$182, 0)</f>
        <v>15</v>
      </c>
      <c r="G13" s="13">
        <f t="array" ref="G13">XLOOKUP($B12, '資料源(請謹慎編輯)'!$B$161:$B$170, '資料源(請謹慎編輯)'!G$173:G$182, 0)</f>
        <v>15</v>
      </c>
      <c r="H13" s="14">
        <f t="array" ref="H13">XLOOKUP($B12, '資料源(請謹慎編輯)'!$B$161:$B$170, '資料源(請謹慎編輯)'!H$173:H$182, 0)</f>
        <v>10</v>
      </c>
      <c r="I13" s="13">
        <f t="array" ref="I13">XLOOKUP($B12, '資料源(請謹慎編輯)'!$B$161:$B$170, '資料源(請謹慎編輯)'!I$173:I$182, 0)</f>
        <v>10</v>
      </c>
      <c r="J13" s="14">
        <f t="array" ref="J13">XLOOKUP($B12, '資料源(請謹慎編輯)'!$B$161:$B$170, '資料源(請謹慎編輯)'!J$173:J$182, 0)</f>
        <v>15</v>
      </c>
      <c r="K13" s="13">
        <f t="array" ref="K13">XLOOKUP($B12, '資料源(請謹慎編輯)'!$B$161:$B$170, '資料源(請謹慎編輯)'!K$173:K$182, 0)</f>
        <v>10</v>
      </c>
      <c r="L13" s="14">
        <f t="array" ref="L13">XLOOKUP($B12, '資料源(請謹慎編輯)'!$B$161:$B$170, '資料源(請謹慎編輯)'!L$173:L$182, 0)</f>
        <v>10</v>
      </c>
      <c r="M13" s="13">
        <f t="array" ref="M13">XLOOKUP($B12, '資料源(請謹慎編輯)'!$B$161:$B$170, '資料源(請謹慎編輯)'!M$173:M$182, 0)</f>
        <v>15</v>
      </c>
      <c r="N13" s="14">
        <f t="array" ref="N13">XLOOKUP($B12, '資料源(請謹慎編輯)'!$B$161:$B$170, '資料源(請謹慎編輯)'!N$173:N$182, 0)</f>
        <v>15</v>
      </c>
      <c r="O13" s="13">
        <f t="array" ref="O13">XLOOKUP($B12, '資料源(請謹慎編輯)'!$B$161:$B$170, '資料源(請謹慎編輯)'!O$173:O$182, 0)</f>
        <v>10</v>
      </c>
      <c r="P13" s="16">
        <f t="array" ref="P13">XLOOKUP($B12, '資料源(請謹慎編輯)'!$B$161:$B$170, '資料源(請謹慎編輯)'!P$173:P$182, 0)</f>
        <v>15</v>
      </c>
      <c r="Q13" s="15">
        <f t="array" ref="Q13">XLOOKUP($B12, '資料源(請謹慎編輯)'!$B$161:$B$170, '資料源(請謹慎編輯)'!Q$173:Q$182, 0)</f>
        <v>15</v>
      </c>
      <c r="R13" s="16">
        <f t="array" ref="R13">XLOOKUP($B12, '資料源(請謹慎編輯)'!$B$161:$B$170, '資料源(請謹慎編輯)'!R$173:R$182, 0)</f>
        <v>15</v>
      </c>
      <c r="S13" s="15">
        <f t="array" ref="S13">XLOOKUP($B12, '資料源(請謹慎編輯)'!$B$161:$B$170, '資料源(請謹慎編輯)'!S$173:S$182, 0)</f>
        <v>15</v>
      </c>
      <c r="T13" s="16">
        <f t="array" ref="T13">XLOOKUP($B12, '資料源(請謹慎編輯)'!$B$161:$B$170, '資料源(請謹慎編輯)'!T$173:T$182, 0)</f>
        <v>15</v>
      </c>
      <c r="U13" s="15">
        <f t="array" ref="U13">XLOOKUP($B12, '資料源(請謹慎編輯)'!$B$161:$B$170, '資料源(請謹慎編輯)'!U$173:U$182, 0)</f>
        <v>10</v>
      </c>
      <c r="V13" s="16">
        <f t="array" ref="V13">XLOOKUP($B12, '資料源(請謹慎編輯)'!$B$161:$B$170, '資料源(請謹慎編輯)'!V$173:V$182, 0)</f>
        <v>10</v>
      </c>
      <c r="W13" s="15">
        <f t="array" ref="W13">XLOOKUP($B12, '資料源(請謹慎編輯)'!$B$161:$B$170, '資料源(請謹慎編輯)'!W$173:W$182, 0)</f>
        <v>10</v>
      </c>
      <c r="X13" s="16">
        <f t="array" ref="X13">XLOOKUP($B12, '資料源(請謹慎編輯)'!$B$161:$B$170, '資料源(請謹慎編輯)'!X$173:X$182, 0)</f>
        <v>10</v>
      </c>
      <c r="Y13" s="15">
        <f t="array" ref="Y13">XLOOKUP($B12, '資料源(請謹慎編輯)'!$B$161:$B$170, '資料源(請謹慎編輯)'!Y$173:Y$182, 0)</f>
        <v>10</v>
      </c>
      <c r="Z13" s="19">
        <f t="array" ref="Z13">XLOOKUP($B12, '資料源(請謹慎編輯)'!$B$161:$B$170, '資料源(請謹慎編輯)'!Z$173:Z$182, 0)</f>
        <v>10</v>
      </c>
    </row>
    <row r="14" ht="18.75" customHeight="1">
      <c r="A14" s="20" t="s">
        <v>45</v>
      </c>
      <c r="B14" s="22"/>
      <c r="C14" s="15">
        <v>1.0</v>
      </c>
      <c r="D14" s="16">
        <v>1.0</v>
      </c>
      <c r="E14" s="15">
        <v>1.0</v>
      </c>
      <c r="F14" s="16">
        <v>1.0</v>
      </c>
      <c r="G14" s="15">
        <v>1.0</v>
      </c>
      <c r="H14" s="16">
        <v>1.0</v>
      </c>
      <c r="I14" s="15">
        <v>1.0</v>
      </c>
      <c r="J14" s="16">
        <v>2.0</v>
      </c>
      <c r="K14" s="15">
        <v>1.0</v>
      </c>
      <c r="L14" s="16">
        <v>1.0</v>
      </c>
      <c r="M14" s="15">
        <v>1.0</v>
      </c>
      <c r="N14" s="16">
        <v>2.0</v>
      </c>
      <c r="O14" s="23">
        <v>1.0</v>
      </c>
      <c r="P14" s="5">
        <v>1.0</v>
      </c>
      <c r="Q14" s="24">
        <v>1.0</v>
      </c>
      <c r="R14" s="5">
        <v>1.0</v>
      </c>
      <c r="S14" s="24">
        <v>1.0</v>
      </c>
      <c r="T14" s="5">
        <v>1.0</v>
      </c>
      <c r="U14" s="24"/>
      <c r="V14" s="5"/>
      <c r="W14" s="25">
        <v>1.0</v>
      </c>
      <c r="X14" s="10">
        <v>1.0</v>
      </c>
      <c r="Y14" s="9">
        <v>1.0</v>
      </c>
      <c r="Z14" s="26">
        <v>1.0</v>
      </c>
    </row>
    <row r="15" ht="18.75" customHeight="1">
      <c r="A15" s="27" t="s">
        <v>46</v>
      </c>
      <c r="B15" s="28"/>
      <c r="C15" s="29">
        <f t="shared" ref="C15:Z15" si="1">SUM(C2:C14)</f>
        <v>25</v>
      </c>
      <c r="D15" s="29">
        <f t="shared" si="1"/>
        <v>23</v>
      </c>
      <c r="E15" s="29">
        <f t="shared" si="1"/>
        <v>26</v>
      </c>
      <c r="F15" s="29">
        <f t="shared" si="1"/>
        <v>27</v>
      </c>
      <c r="G15" s="29">
        <f t="shared" si="1"/>
        <v>26</v>
      </c>
      <c r="H15" s="29">
        <f t="shared" si="1"/>
        <v>18</v>
      </c>
      <c r="I15" s="29">
        <f t="shared" si="1"/>
        <v>12</v>
      </c>
      <c r="J15" s="29">
        <f t="shared" si="1"/>
        <v>19</v>
      </c>
      <c r="K15" s="29">
        <f t="shared" si="1"/>
        <v>11</v>
      </c>
      <c r="L15" s="29">
        <f t="shared" si="1"/>
        <v>11</v>
      </c>
      <c r="M15" s="29">
        <f t="shared" si="1"/>
        <v>16</v>
      </c>
      <c r="N15" s="29">
        <f t="shared" si="1"/>
        <v>17</v>
      </c>
      <c r="O15" s="29">
        <f t="shared" si="1"/>
        <v>11</v>
      </c>
      <c r="P15" s="29">
        <f t="shared" si="1"/>
        <v>17</v>
      </c>
      <c r="Q15" s="29">
        <f t="shared" si="1"/>
        <v>16</v>
      </c>
      <c r="R15" s="29">
        <f t="shared" si="1"/>
        <v>17</v>
      </c>
      <c r="S15" s="29">
        <f t="shared" si="1"/>
        <v>16</v>
      </c>
      <c r="T15" s="29">
        <f t="shared" si="1"/>
        <v>16</v>
      </c>
      <c r="U15" s="29">
        <f t="shared" si="1"/>
        <v>10</v>
      </c>
      <c r="V15" s="29">
        <f t="shared" si="1"/>
        <v>10</v>
      </c>
      <c r="W15" s="29">
        <f t="shared" si="1"/>
        <v>11</v>
      </c>
      <c r="X15" s="29">
        <f t="shared" si="1"/>
        <v>11</v>
      </c>
      <c r="Y15" s="29">
        <f t="shared" si="1"/>
        <v>11</v>
      </c>
      <c r="Z15" s="29">
        <f t="shared" si="1"/>
        <v>11</v>
      </c>
    </row>
    <row r="16" ht="18.75" customHeight="1">
      <c r="A16" s="5"/>
      <c r="B16" s="30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8.75" customHeight="1">
      <c r="A17" s="5"/>
      <c r="B17" s="30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8.75" customHeight="1">
      <c r="A18" s="5"/>
      <c r="B18" s="30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R18" s="5"/>
      <c r="S18" s="5"/>
      <c r="T18" s="5"/>
      <c r="U18" s="5"/>
      <c r="V18" s="5"/>
      <c r="W18" s="5"/>
      <c r="X18" s="5"/>
      <c r="Y18" s="5"/>
      <c r="Z18" s="5"/>
    </row>
    <row r="19" ht="18.75" customHeight="1">
      <c r="A19" s="5"/>
      <c r="B19" s="30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8.75" customHeight="1">
      <c r="A20" s="5"/>
      <c r="B20" s="30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8.75" customHeight="1">
      <c r="A21" s="5"/>
      <c r="B21" s="30"/>
      <c r="C21" s="5"/>
      <c r="D21" s="5"/>
      <c r="E21" s="5"/>
      <c r="F21" s="5"/>
      <c r="G21" s="5"/>
      <c r="H21" s="5"/>
      <c r="I21" s="5"/>
      <c r="J21" s="5"/>
      <c r="K21" s="31" t="s">
        <v>47</v>
      </c>
      <c r="L21" s="32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8.75" customHeight="1">
      <c r="A22" s="5"/>
      <c r="B22" s="30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8.75" customHeight="1">
      <c r="A23" s="5"/>
      <c r="B23" s="30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8.75" customHeight="1">
      <c r="A24" s="5"/>
      <c r="B24" s="30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8.75" customHeight="1">
      <c r="A25" s="5"/>
      <c r="B25" s="30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8.75" customHeight="1">
      <c r="A26" s="5"/>
      <c r="B26" s="30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8.75" customHeight="1">
      <c r="A27" s="5"/>
      <c r="B27" s="30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8.75" customHeight="1">
      <c r="A28" s="5"/>
      <c r="B28" s="30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33"/>
      <c r="Y28" s="5"/>
      <c r="Z28" s="5"/>
    </row>
    <row r="29" ht="18.75" customHeight="1">
      <c r="A29" s="5"/>
      <c r="B29" s="30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8.75" customHeight="1">
      <c r="A30" s="5"/>
      <c r="B30" s="30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8.75" customHeight="1">
      <c r="A31" s="5"/>
      <c r="B31" s="30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8.75" customHeight="1">
      <c r="A32" s="5"/>
      <c r="B32" s="30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8.75" customHeight="1">
      <c r="A33" s="5"/>
      <c r="B33" s="30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8.75" customHeight="1">
      <c r="A34" s="5"/>
      <c r="B34" s="30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8.75" customHeight="1">
      <c r="A35" s="5"/>
      <c r="B35" s="30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8.75" customHeight="1">
      <c r="A36" s="5"/>
      <c r="B36" s="30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8.75" customHeight="1">
      <c r="A37" s="5"/>
      <c r="B37" s="30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8.75" customHeight="1">
      <c r="A38" s="5"/>
      <c r="B38" s="30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8.75" customHeight="1">
      <c r="A39" s="5"/>
      <c r="B39" s="30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8.75" customHeight="1">
      <c r="A40" s="5"/>
      <c r="B40" s="30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8.75" customHeight="1">
      <c r="A41" s="5"/>
      <c r="B41" s="30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8.75" customHeight="1">
      <c r="A42" s="5"/>
      <c r="B42" s="30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8.75" customHeight="1">
      <c r="A43" s="5"/>
      <c r="B43" s="30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8.75" customHeight="1">
      <c r="A44" s="5"/>
      <c r="B44" s="30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8.75" customHeight="1">
      <c r="A45" s="5"/>
      <c r="B45" s="30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8.75" customHeight="1">
      <c r="A46" s="5"/>
      <c r="B46" s="30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8.75" customHeight="1">
      <c r="A47" s="5"/>
      <c r="B47" s="30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8.75" customHeight="1">
      <c r="A48" s="5"/>
      <c r="B48" s="30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8.75" customHeight="1">
      <c r="A49" s="5"/>
      <c r="B49" s="30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8.75" customHeight="1">
      <c r="A50" s="5"/>
      <c r="B50" s="30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8.75" customHeight="1">
      <c r="A51" s="5"/>
      <c r="B51" s="30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8.75" customHeight="1">
      <c r="A52" s="5"/>
      <c r="B52" s="30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8.75" customHeight="1">
      <c r="A53" s="5"/>
      <c r="B53" s="30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8.75" customHeight="1">
      <c r="A54" s="5"/>
      <c r="B54" s="30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8.75" customHeight="1">
      <c r="A55" s="5"/>
      <c r="B55" s="30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8.75" customHeight="1">
      <c r="A56" s="5"/>
      <c r="B56" s="30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8.75" customHeight="1">
      <c r="A57" s="5"/>
      <c r="B57" s="30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8.75" customHeight="1">
      <c r="A58" s="5"/>
      <c r="B58" s="30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8.75" customHeight="1">
      <c r="A59" s="5"/>
      <c r="B59" s="30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8.75" customHeight="1">
      <c r="A60" s="5"/>
      <c r="B60" s="30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8.75" customHeight="1">
      <c r="A61" s="5"/>
      <c r="B61" s="30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8.75" customHeight="1">
      <c r="A62" s="5"/>
      <c r="B62" s="30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8.75" customHeight="1">
      <c r="A63" s="5"/>
      <c r="B63" s="30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8.75" customHeight="1">
      <c r="A64" s="5"/>
      <c r="B64" s="30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8.75" customHeight="1">
      <c r="A65" s="5"/>
      <c r="B65" s="30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8.75" customHeight="1">
      <c r="A66" s="5"/>
      <c r="B66" s="30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8.75" customHeight="1">
      <c r="A67" s="5"/>
      <c r="B67" s="30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8.75" customHeight="1">
      <c r="A68" s="5"/>
      <c r="B68" s="30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8.75" customHeight="1">
      <c r="A69" s="5"/>
      <c r="B69" s="30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8.75" customHeight="1">
      <c r="A70" s="5"/>
      <c r="B70" s="30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8.75" customHeight="1">
      <c r="A71" s="5"/>
      <c r="B71" s="30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8.75" customHeight="1">
      <c r="A72" s="5"/>
      <c r="B72" s="30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8.75" customHeight="1">
      <c r="A73" s="5"/>
      <c r="B73" s="30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8.75" customHeight="1">
      <c r="A74" s="5"/>
      <c r="B74" s="30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8.75" customHeight="1">
      <c r="A75" s="5"/>
      <c r="B75" s="30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8.75" customHeight="1">
      <c r="A76" s="5"/>
      <c r="B76" s="30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8.75" customHeight="1">
      <c r="A77" s="5"/>
      <c r="B77" s="30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8.75" customHeight="1">
      <c r="A78" s="5"/>
      <c r="B78" s="30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8.75" customHeight="1">
      <c r="A79" s="5"/>
      <c r="B79" s="30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8.75" customHeight="1">
      <c r="A80" s="5"/>
      <c r="B80" s="30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8.75" customHeight="1">
      <c r="A81" s="5"/>
      <c r="B81" s="30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8.75" customHeight="1">
      <c r="A82" s="5"/>
      <c r="B82" s="30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8.75" customHeight="1">
      <c r="A83" s="5"/>
      <c r="B83" s="30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8.75" customHeight="1">
      <c r="A84" s="5"/>
      <c r="B84" s="30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8.75" customHeight="1">
      <c r="A85" s="5"/>
      <c r="B85" s="30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8.75" customHeight="1">
      <c r="A86" s="5"/>
      <c r="B86" s="30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8.75" customHeight="1">
      <c r="A87" s="5"/>
      <c r="B87" s="30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8.75" customHeight="1">
      <c r="A88" s="5"/>
      <c r="B88" s="30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8.75" customHeight="1">
      <c r="A89" s="5"/>
      <c r="B89" s="30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8.75" customHeight="1">
      <c r="A90" s="5"/>
      <c r="B90" s="30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8.75" customHeight="1">
      <c r="A91" s="5"/>
      <c r="B91" s="30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8.75" customHeight="1">
      <c r="A92" s="5"/>
      <c r="B92" s="30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8.75" customHeight="1">
      <c r="A93" s="5"/>
      <c r="B93" s="30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8.75" customHeight="1">
      <c r="A94" s="5"/>
      <c r="B94" s="30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8.75" customHeight="1">
      <c r="A95" s="5"/>
      <c r="B95" s="30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8.75" customHeight="1">
      <c r="A96" s="5"/>
      <c r="B96" s="30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8.75" customHeight="1">
      <c r="A97" s="5"/>
      <c r="B97" s="30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8.75" customHeight="1">
      <c r="A98" s="5"/>
      <c r="B98" s="30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8.75" customHeight="1">
      <c r="A99" s="5"/>
      <c r="B99" s="30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8.75" customHeight="1">
      <c r="A100" s="5"/>
      <c r="B100" s="30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8.75" customHeight="1">
      <c r="A101" s="5"/>
      <c r="B101" s="30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8.75" customHeight="1">
      <c r="A102" s="5"/>
      <c r="B102" s="30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8.75" customHeight="1">
      <c r="A103" s="5"/>
      <c r="B103" s="30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8.75" customHeight="1">
      <c r="A104" s="5"/>
      <c r="B104" s="30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8.75" customHeight="1">
      <c r="A105" s="5"/>
      <c r="B105" s="30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8.75" customHeight="1">
      <c r="A106" s="5"/>
      <c r="B106" s="30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8.75" customHeight="1">
      <c r="A107" s="5"/>
      <c r="B107" s="30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8.75" customHeight="1">
      <c r="A108" s="5"/>
      <c r="B108" s="30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8.75" customHeight="1">
      <c r="A109" s="5"/>
      <c r="B109" s="30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8.75" customHeight="1">
      <c r="A110" s="5"/>
      <c r="B110" s="30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8.75" customHeight="1">
      <c r="A111" s="5"/>
      <c r="B111" s="30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8.75" customHeight="1">
      <c r="A112" s="5"/>
      <c r="B112" s="30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8.75" customHeight="1">
      <c r="A113" s="5"/>
      <c r="B113" s="30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8.75" customHeight="1">
      <c r="A114" s="5"/>
      <c r="B114" s="30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8.75" customHeight="1">
      <c r="A115" s="5"/>
      <c r="B115" s="30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8.75" customHeight="1">
      <c r="A116" s="5"/>
      <c r="B116" s="30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8.75" customHeight="1">
      <c r="A117" s="5"/>
      <c r="B117" s="30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8.75" customHeight="1">
      <c r="A118" s="5"/>
      <c r="B118" s="30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8.75" customHeight="1">
      <c r="A119" s="5"/>
      <c r="B119" s="30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8.75" customHeight="1">
      <c r="A120" s="5"/>
      <c r="B120" s="30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8.75" customHeight="1">
      <c r="A121" s="5"/>
      <c r="B121" s="30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8.75" customHeight="1">
      <c r="A122" s="5"/>
      <c r="B122" s="30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8.75" customHeight="1">
      <c r="A123" s="5"/>
      <c r="B123" s="30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8.75" customHeight="1">
      <c r="A124" s="5"/>
      <c r="B124" s="30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8.75" customHeight="1">
      <c r="A125" s="5"/>
      <c r="B125" s="30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8.75" customHeight="1">
      <c r="A126" s="5"/>
      <c r="B126" s="30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8.75" customHeight="1">
      <c r="A127" s="5"/>
      <c r="B127" s="30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8.75" customHeight="1">
      <c r="A128" s="5"/>
      <c r="B128" s="30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8.75" customHeight="1">
      <c r="A129" s="5"/>
      <c r="B129" s="30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8.75" customHeight="1">
      <c r="A130" s="5"/>
      <c r="B130" s="30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8.75" customHeight="1">
      <c r="A131" s="5"/>
      <c r="B131" s="30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8.75" customHeight="1">
      <c r="A132" s="5"/>
      <c r="B132" s="30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8.75" customHeight="1">
      <c r="A133" s="5"/>
      <c r="B133" s="30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8.75" customHeight="1">
      <c r="A134" s="5"/>
      <c r="B134" s="30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8.75" customHeight="1">
      <c r="A135" s="5"/>
      <c r="B135" s="30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8.75" customHeight="1">
      <c r="A136" s="5"/>
      <c r="B136" s="30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8.75" customHeight="1">
      <c r="A137" s="5"/>
      <c r="B137" s="30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8.75" customHeight="1">
      <c r="A138" s="5"/>
      <c r="B138" s="30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8.75" customHeight="1">
      <c r="A139" s="5"/>
      <c r="B139" s="30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8.75" customHeight="1">
      <c r="A140" s="5"/>
      <c r="B140" s="30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8.75" customHeight="1">
      <c r="A141" s="5"/>
      <c r="B141" s="30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8.75" customHeight="1">
      <c r="A142" s="5"/>
      <c r="B142" s="30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8.75" customHeight="1">
      <c r="A143" s="5"/>
      <c r="B143" s="30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8.75" customHeight="1">
      <c r="A144" s="5"/>
      <c r="B144" s="30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8.75" customHeight="1">
      <c r="A145" s="5"/>
      <c r="B145" s="30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8.75" customHeight="1">
      <c r="A146" s="5"/>
      <c r="B146" s="30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8.75" customHeight="1">
      <c r="A147" s="5"/>
      <c r="B147" s="30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8.75" customHeight="1">
      <c r="A148" s="5"/>
      <c r="B148" s="30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8.75" customHeight="1">
      <c r="A149" s="5"/>
      <c r="B149" s="30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8.75" customHeight="1">
      <c r="A150" s="5"/>
      <c r="B150" s="30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8.75" customHeight="1">
      <c r="A151" s="5"/>
      <c r="B151" s="30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8.75" customHeight="1">
      <c r="A152" s="5"/>
      <c r="B152" s="30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8.75" customHeight="1">
      <c r="A153" s="5"/>
      <c r="B153" s="30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8.75" customHeight="1">
      <c r="A154" s="5"/>
      <c r="B154" s="30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8.75" customHeight="1">
      <c r="A155" s="5"/>
      <c r="B155" s="30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8.75" customHeight="1">
      <c r="A156" s="5"/>
      <c r="B156" s="30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8.75" customHeight="1">
      <c r="A157" s="5"/>
      <c r="B157" s="30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8.75" customHeight="1">
      <c r="A158" s="5"/>
      <c r="B158" s="30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8.75" customHeight="1">
      <c r="A159" s="5"/>
      <c r="B159" s="30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8.75" customHeight="1">
      <c r="A160" s="5"/>
      <c r="B160" s="30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8.75" customHeight="1">
      <c r="A161" s="5"/>
      <c r="B161" s="30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8.75" customHeight="1">
      <c r="A162" s="5"/>
      <c r="B162" s="30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8.75" customHeight="1">
      <c r="A163" s="5"/>
      <c r="B163" s="30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8.75" customHeight="1">
      <c r="A164" s="5"/>
      <c r="B164" s="30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8.75" customHeight="1">
      <c r="A165" s="5"/>
      <c r="B165" s="30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8.75" customHeight="1">
      <c r="A166" s="5"/>
      <c r="B166" s="30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8.75" customHeight="1">
      <c r="A167" s="5"/>
      <c r="B167" s="30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8.75" customHeight="1">
      <c r="A168" s="5"/>
      <c r="B168" s="30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8.75" customHeight="1">
      <c r="A169" s="5"/>
      <c r="B169" s="30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8.75" customHeight="1">
      <c r="A170" s="5"/>
      <c r="B170" s="30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8.75" customHeight="1">
      <c r="A171" s="5"/>
      <c r="B171" s="30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8.75" customHeight="1">
      <c r="A172" s="5"/>
      <c r="B172" s="30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8.75" customHeight="1">
      <c r="A173" s="5"/>
      <c r="B173" s="30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8.75" customHeight="1">
      <c r="A174" s="5"/>
      <c r="B174" s="30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8.75" customHeight="1">
      <c r="A175" s="5"/>
      <c r="B175" s="30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8.75" customHeight="1">
      <c r="A176" s="5"/>
      <c r="B176" s="30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8.75" customHeight="1">
      <c r="A177" s="5"/>
      <c r="B177" s="30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8.75" customHeight="1">
      <c r="A178" s="5"/>
      <c r="B178" s="30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8.75" customHeight="1">
      <c r="A179" s="5"/>
      <c r="B179" s="30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8.75" customHeight="1">
      <c r="A180" s="5"/>
      <c r="B180" s="30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8.75" customHeight="1">
      <c r="A181" s="5"/>
      <c r="B181" s="30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8.75" customHeight="1">
      <c r="A182" s="5"/>
      <c r="B182" s="30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8.75" customHeight="1">
      <c r="A183" s="5"/>
      <c r="B183" s="30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8.75" customHeight="1">
      <c r="A184" s="5"/>
      <c r="B184" s="30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8.75" customHeight="1">
      <c r="A185" s="5"/>
      <c r="B185" s="30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8.75" customHeight="1">
      <c r="A186" s="5"/>
      <c r="B186" s="30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8.75" customHeight="1">
      <c r="A187" s="5"/>
      <c r="B187" s="30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8.75" customHeight="1">
      <c r="A188" s="5"/>
      <c r="B188" s="30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8.75" customHeight="1">
      <c r="A189" s="5"/>
      <c r="B189" s="30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8.75" customHeight="1">
      <c r="A190" s="5"/>
      <c r="B190" s="30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8.75" customHeight="1">
      <c r="A191" s="5"/>
      <c r="B191" s="30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8.75" customHeight="1">
      <c r="A192" s="5"/>
      <c r="B192" s="30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8.75" customHeight="1">
      <c r="A193" s="5"/>
      <c r="B193" s="30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8.75" customHeight="1">
      <c r="A194" s="5"/>
      <c r="B194" s="30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8.75" customHeight="1">
      <c r="A195" s="5"/>
      <c r="B195" s="30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8.75" customHeight="1">
      <c r="A196" s="5"/>
      <c r="B196" s="30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8.75" customHeight="1">
      <c r="A197" s="5"/>
      <c r="B197" s="30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8.75" customHeight="1">
      <c r="A198" s="5"/>
      <c r="B198" s="30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8.75" customHeight="1">
      <c r="A199" s="5"/>
      <c r="B199" s="30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8.75" customHeight="1">
      <c r="A200" s="5"/>
      <c r="B200" s="30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8.75" customHeight="1">
      <c r="A201" s="5"/>
      <c r="B201" s="30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8.75" customHeight="1">
      <c r="A202" s="5"/>
      <c r="B202" s="30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8.75" customHeight="1">
      <c r="A203" s="5"/>
      <c r="B203" s="30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8.75" customHeight="1">
      <c r="A204" s="5"/>
      <c r="B204" s="30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8.75" customHeight="1">
      <c r="A205" s="5"/>
      <c r="B205" s="30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8.75" customHeight="1">
      <c r="A206" s="5"/>
      <c r="B206" s="30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8.75" customHeight="1">
      <c r="A207" s="5"/>
      <c r="B207" s="30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8.75" customHeight="1">
      <c r="A208" s="5"/>
      <c r="B208" s="30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8.75" customHeight="1">
      <c r="A209" s="5"/>
      <c r="B209" s="30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8.75" customHeight="1">
      <c r="A210" s="5"/>
      <c r="B210" s="30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8.75" customHeight="1">
      <c r="A211" s="5"/>
      <c r="B211" s="30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8.75" customHeight="1">
      <c r="A212" s="5"/>
      <c r="B212" s="30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8.75" customHeight="1">
      <c r="A213" s="5"/>
      <c r="B213" s="30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8.75" customHeight="1">
      <c r="A214" s="5"/>
      <c r="B214" s="30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8.75" customHeight="1">
      <c r="A215" s="5"/>
      <c r="B215" s="30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8.75" customHeight="1">
      <c r="A216" s="5"/>
      <c r="B216" s="30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8.75" customHeight="1">
      <c r="A217" s="5"/>
      <c r="B217" s="30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8.75" customHeight="1">
      <c r="A218" s="5"/>
      <c r="B218" s="30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8.75" customHeight="1">
      <c r="A219" s="5"/>
      <c r="B219" s="30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8.75" customHeight="1">
      <c r="A220" s="5"/>
      <c r="B220" s="30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8.75" customHeight="1">
      <c r="A221" s="5"/>
      <c r="B221" s="30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8.75" customHeight="1">
      <c r="A222" s="5"/>
      <c r="B222" s="30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8.75" customHeight="1">
      <c r="A223" s="5"/>
      <c r="B223" s="30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8.75" customHeight="1">
      <c r="A224" s="5"/>
      <c r="B224" s="30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8.75" customHeight="1">
      <c r="A225" s="5"/>
      <c r="B225" s="30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8.75" customHeight="1">
      <c r="A226" s="5"/>
      <c r="B226" s="30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8.75" customHeight="1">
      <c r="A227" s="5"/>
      <c r="B227" s="30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8.75" customHeight="1">
      <c r="A228" s="5"/>
      <c r="B228" s="30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8.75" customHeight="1">
      <c r="A229" s="5"/>
      <c r="B229" s="30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8.75" customHeight="1">
      <c r="A230" s="5"/>
      <c r="B230" s="30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8.75" customHeight="1">
      <c r="A231" s="5"/>
      <c r="B231" s="30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8.75" customHeight="1">
      <c r="A232" s="5"/>
      <c r="B232" s="30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8.75" customHeight="1">
      <c r="A233" s="5"/>
      <c r="B233" s="30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8.75" customHeight="1">
      <c r="A234" s="5"/>
      <c r="B234" s="30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8.75" customHeight="1">
      <c r="A235" s="5"/>
      <c r="B235" s="30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8.75" customHeight="1">
      <c r="A236" s="5"/>
      <c r="B236" s="30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8.75" customHeight="1">
      <c r="A237" s="5"/>
      <c r="B237" s="30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8.75" customHeight="1">
      <c r="A238" s="5"/>
      <c r="B238" s="30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8.75" customHeight="1">
      <c r="A239" s="5"/>
      <c r="B239" s="30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8.75" customHeight="1">
      <c r="A240" s="5"/>
      <c r="B240" s="30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8.75" customHeight="1">
      <c r="A241" s="5"/>
      <c r="B241" s="30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8.75" customHeight="1">
      <c r="A242" s="5"/>
      <c r="B242" s="30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8.75" customHeight="1">
      <c r="A243" s="5"/>
      <c r="B243" s="30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8.75" customHeight="1">
      <c r="A244" s="5"/>
      <c r="B244" s="30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8.75" customHeight="1">
      <c r="A245" s="5"/>
      <c r="B245" s="30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8.75" customHeight="1">
      <c r="A246" s="5"/>
      <c r="B246" s="30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8.75" customHeight="1">
      <c r="A247" s="5"/>
      <c r="B247" s="30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8.75" customHeight="1">
      <c r="A248" s="5"/>
      <c r="B248" s="30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8.75" customHeight="1">
      <c r="A249" s="5"/>
      <c r="B249" s="30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8.75" customHeight="1">
      <c r="A250" s="5"/>
      <c r="B250" s="30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8.75" customHeight="1">
      <c r="A251" s="5"/>
      <c r="B251" s="30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8.75" customHeight="1">
      <c r="A252" s="5"/>
      <c r="B252" s="30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8.75" customHeight="1">
      <c r="A253" s="5"/>
      <c r="B253" s="30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8.75" customHeight="1">
      <c r="A254" s="5"/>
      <c r="B254" s="30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8.75" customHeight="1">
      <c r="A255" s="5"/>
      <c r="B255" s="30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8.75" customHeight="1">
      <c r="A256" s="5"/>
      <c r="B256" s="30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8.75" customHeight="1">
      <c r="A257" s="5"/>
      <c r="B257" s="30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8.75" customHeight="1">
      <c r="A258" s="5"/>
      <c r="B258" s="30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8.75" customHeight="1">
      <c r="A259" s="5"/>
      <c r="B259" s="30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8.75" customHeight="1">
      <c r="A260" s="5"/>
      <c r="B260" s="30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8.75" customHeight="1">
      <c r="A261" s="5"/>
      <c r="B261" s="30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8.75" customHeight="1">
      <c r="A262" s="5"/>
      <c r="B262" s="30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8.75" customHeight="1">
      <c r="A263" s="5"/>
      <c r="B263" s="30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8.75" customHeight="1">
      <c r="A264" s="5"/>
      <c r="B264" s="30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8.75" customHeight="1">
      <c r="A265" s="5"/>
      <c r="B265" s="30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8.75" customHeight="1">
      <c r="A266" s="5"/>
      <c r="B266" s="30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8.75" customHeight="1">
      <c r="A267" s="5"/>
      <c r="B267" s="30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8.75" customHeight="1">
      <c r="A268" s="5"/>
      <c r="B268" s="30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8.75" customHeight="1">
      <c r="A269" s="5"/>
      <c r="B269" s="30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8.75" customHeight="1">
      <c r="A270" s="5"/>
      <c r="B270" s="30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8.75" customHeight="1">
      <c r="A271" s="5"/>
      <c r="B271" s="30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8.75" customHeight="1">
      <c r="A272" s="5"/>
      <c r="B272" s="30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8.75" customHeight="1">
      <c r="A273" s="5"/>
      <c r="B273" s="30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8.75" customHeight="1">
      <c r="A274" s="5"/>
      <c r="B274" s="30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8.75" customHeight="1">
      <c r="A275" s="5"/>
      <c r="B275" s="30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8.75" customHeight="1">
      <c r="A276" s="5"/>
      <c r="B276" s="30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8.75" customHeight="1">
      <c r="A277" s="5"/>
      <c r="B277" s="30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8.75" customHeight="1">
      <c r="A278" s="5"/>
      <c r="B278" s="30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8.75" customHeight="1">
      <c r="A279" s="5"/>
      <c r="B279" s="30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8.75" customHeight="1">
      <c r="A280" s="5"/>
      <c r="B280" s="30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8.75" customHeight="1">
      <c r="A281" s="5"/>
      <c r="B281" s="30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8.75" customHeight="1">
      <c r="A282" s="5"/>
      <c r="B282" s="30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8.75" customHeight="1">
      <c r="A283" s="5"/>
      <c r="B283" s="30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8.75" customHeight="1">
      <c r="A284" s="5"/>
      <c r="B284" s="30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8.75" customHeight="1">
      <c r="A285" s="5"/>
      <c r="B285" s="30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8.75" customHeight="1">
      <c r="A286" s="5"/>
      <c r="B286" s="30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8.75" customHeight="1">
      <c r="A287" s="5"/>
      <c r="B287" s="30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8.75" customHeight="1">
      <c r="A288" s="5"/>
      <c r="B288" s="30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8.75" customHeight="1">
      <c r="A289" s="5"/>
      <c r="B289" s="30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8.75" customHeight="1">
      <c r="A290" s="5"/>
      <c r="B290" s="30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8.75" customHeight="1">
      <c r="A291" s="5"/>
      <c r="B291" s="30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8.75" customHeight="1">
      <c r="A292" s="5"/>
      <c r="B292" s="30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8.75" customHeight="1">
      <c r="A293" s="5"/>
      <c r="B293" s="30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8.75" customHeight="1">
      <c r="A294" s="5"/>
      <c r="B294" s="30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8.75" customHeight="1">
      <c r="A295" s="5"/>
      <c r="B295" s="30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8.75" customHeight="1">
      <c r="A296" s="5"/>
      <c r="B296" s="30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8.75" customHeight="1">
      <c r="A297" s="5"/>
      <c r="B297" s="30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8.75" customHeight="1">
      <c r="A298" s="5"/>
      <c r="B298" s="30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8.75" customHeight="1">
      <c r="A299" s="5"/>
      <c r="B299" s="30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8.75" customHeight="1">
      <c r="A300" s="5"/>
      <c r="B300" s="30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8.75" customHeight="1">
      <c r="A301" s="5"/>
      <c r="B301" s="30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8.75" customHeight="1">
      <c r="A302" s="5"/>
      <c r="B302" s="30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8.75" customHeight="1">
      <c r="A303" s="5"/>
      <c r="B303" s="30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8.75" customHeight="1">
      <c r="A304" s="5"/>
      <c r="B304" s="30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8.75" customHeight="1">
      <c r="A305" s="5"/>
      <c r="B305" s="30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8.75" customHeight="1">
      <c r="A306" s="5"/>
      <c r="B306" s="30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8.75" customHeight="1">
      <c r="A307" s="5"/>
      <c r="B307" s="30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8.75" customHeight="1">
      <c r="A308" s="5"/>
      <c r="B308" s="30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8.75" customHeight="1">
      <c r="A309" s="5"/>
      <c r="B309" s="30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8.75" customHeight="1">
      <c r="A310" s="5"/>
      <c r="B310" s="30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8.75" customHeight="1">
      <c r="A311" s="5"/>
      <c r="B311" s="30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8.75" customHeight="1">
      <c r="A312" s="5"/>
      <c r="B312" s="30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8.75" customHeight="1">
      <c r="A313" s="5"/>
      <c r="B313" s="30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8.75" customHeight="1">
      <c r="A314" s="5"/>
      <c r="B314" s="30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8.75" customHeight="1">
      <c r="A315" s="5"/>
      <c r="B315" s="30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8.75" customHeight="1">
      <c r="A316" s="5"/>
      <c r="B316" s="30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8.75" customHeight="1">
      <c r="A317" s="5"/>
      <c r="B317" s="30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8.75" customHeight="1">
      <c r="A318" s="5"/>
      <c r="B318" s="30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8.75" customHeight="1">
      <c r="A319" s="5"/>
      <c r="B319" s="30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8.75" customHeight="1">
      <c r="A320" s="5"/>
      <c r="B320" s="30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8.75" customHeight="1">
      <c r="A321" s="5"/>
      <c r="B321" s="30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8.75" customHeight="1">
      <c r="A322" s="5"/>
      <c r="B322" s="30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8.75" customHeight="1">
      <c r="A323" s="5"/>
      <c r="B323" s="30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8.75" customHeight="1">
      <c r="A324" s="5"/>
      <c r="B324" s="30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8.75" customHeight="1">
      <c r="A325" s="5"/>
      <c r="B325" s="30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8.75" customHeight="1">
      <c r="A326" s="5"/>
      <c r="B326" s="30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8.75" customHeight="1">
      <c r="A327" s="5"/>
      <c r="B327" s="30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8.75" customHeight="1">
      <c r="A328" s="5"/>
      <c r="B328" s="30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8.75" customHeight="1">
      <c r="A329" s="5"/>
      <c r="B329" s="30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8.75" customHeight="1">
      <c r="A330" s="5"/>
      <c r="B330" s="30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8.75" customHeight="1">
      <c r="A331" s="5"/>
      <c r="B331" s="30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8.75" customHeight="1">
      <c r="A332" s="5"/>
      <c r="B332" s="30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8.75" customHeight="1">
      <c r="A333" s="5"/>
      <c r="B333" s="30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8.75" customHeight="1">
      <c r="A334" s="5"/>
      <c r="B334" s="30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8.75" customHeight="1">
      <c r="A335" s="5"/>
      <c r="B335" s="30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8.75" customHeight="1">
      <c r="A336" s="5"/>
      <c r="B336" s="30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8.75" customHeight="1">
      <c r="A337" s="5"/>
      <c r="B337" s="30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8.75" customHeight="1">
      <c r="A338" s="5"/>
      <c r="B338" s="30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8.75" customHeight="1">
      <c r="A339" s="5"/>
      <c r="B339" s="30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8.75" customHeight="1">
      <c r="A340" s="5"/>
      <c r="B340" s="30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8.75" customHeight="1">
      <c r="A341" s="5"/>
      <c r="B341" s="30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8.75" customHeight="1">
      <c r="A342" s="5"/>
      <c r="B342" s="30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8.75" customHeight="1">
      <c r="A343" s="5"/>
      <c r="B343" s="30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8.75" customHeight="1">
      <c r="A344" s="5"/>
      <c r="B344" s="30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8.75" customHeight="1">
      <c r="A345" s="5"/>
      <c r="B345" s="30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8.75" customHeight="1">
      <c r="A346" s="5"/>
      <c r="B346" s="30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8.75" customHeight="1">
      <c r="A347" s="5"/>
      <c r="B347" s="30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8.75" customHeight="1">
      <c r="A348" s="5"/>
      <c r="B348" s="30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8.75" customHeight="1">
      <c r="A349" s="5"/>
      <c r="B349" s="30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8.75" customHeight="1">
      <c r="A350" s="5"/>
      <c r="B350" s="30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8.75" customHeight="1">
      <c r="A351" s="5"/>
      <c r="B351" s="30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8.75" customHeight="1">
      <c r="A352" s="5"/>
      <c r="B352" s="30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8.75" customHeight="1">
      <c r="A353" s="5"/>
      <c r="B353" s="30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8.75" customHeight="1">
      <c r="A354" s="5"/>
      <c r="B354" s="30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8.75" customHeight="1">
      <c r="A355" s="5"/>
      <c r="B355" s="30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8.75" customHeight="1">
      <c r="A356" s="5"/>
      <c r="B356" s="30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8.75" customHeight="1">
      <c r="A357" s="5"/>
      <c r="B357" s="30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8.75" customHeight="1">
      <c r="A358" s="5"/>
      <c r="B358" s="30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8.75" customHeight="1">
      <c r="A359" s="5"/>
      <c r="B359" s="30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8.75" customHeight="1">
      <c r="A360" s="5"/>
      <c r="B360" s="30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8.75" customHeight="1">
      <c r="A361" s="5"/>
      <c r="B361" s="30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8.75" customHeight="1">
      <c r="A362" s="5"/>
      <c r="B362" s="30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8.75" customHeight="1">
      <c r="A363" s="5"/>
      <c r="B363" s="30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8.75" customHeight="1">
      <c r="A364" s="5"/>
      <c r="B364" s="30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8.75" customHeight="1">
      <c r="A365" s="5"/>
      <c r="B365" s="30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8.75" customHeight="1">
      <c r="A366" s="5"/>
      <c r="B366" s="30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8.75" customHeight="1">
      <c r="A367" s="5"/>
      <c r="B367" s="30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8.75" customHeight="1">
      <c r="A368" s="5"/>
      <c r="B368" s="30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8.75" customHeight="1">
      <c r="A369" s="5"/>
      <c r="B369" s="30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8.75" customHeight="1">
      <c r="A370" s="5"/>
      <c r="B370" s="30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8.75" customHeight="1">
      <c r="A371" s="5"/>
      <c r="B371" s="30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8.75" customHeight="1">
      <c r="A372" s="5"/>
      <c r="B372" s="30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8.75" customHeight="1">
      <c r="A373" s="5"/>
      <c r="B373" s="30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8.75" customHeight="1">
      <c r="A374" s="5"/>
      <c r="B374" s="30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8.75" customHeight="1">
      <c r="A375" s="5"/>
      <c r="B375" s="30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8.75" customHeight="1">
      <c r="A376" s="5"/>
      <c r="B376" s="30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8.75" customHeight="1">
      <c r="A377" s="5"/>
      <c r="B377" s="30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8.75" customHeight="1">
      <c r="A378" s="5"/>
      <c r="B378" s="30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8.75" customHeight="1">
      <c r="A379" s="5"/>
      <c r="B379" s="30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8.75" customHeight="1">
      <c r="A380" s="5"/>
      <c r="B380" s="30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8.75" customHeight="1">
      <c r="A381" s="5"/>
      <c r="B381" s="30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8.75" customHeight="1">
      <c r="A382" s="5"/>
      <c r="B382" s="30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8.75" customHeight="1">
      <c r="A383" s="5"/>
      <c r="B383" s="30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8.75" customHeight="1">
      <c r="A384" s="5"/>
      <c r="B384" s="30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8.75" customHeight="1">
      <c r="A385" s="5"/>
      <c r="B385" s="30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8.75" customHeight="1">
      <c r="A386" s="5"/>
      <c r="B386" s="30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8.75" customHeight="1">
      <c r="A387" s="5"/>
      <c r="B387" s="30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8.75" customHeight="1">
      <c r="A388" s="5"/>
      <c r="B388" s="30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8.75" customHeight="1">
      <c r="A389" s="5"/>
      <c r="B389" s="30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8.75" customHeight="1">
      <c r="A390" s="5"/>
      <c r="B390" s="30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8.75" customHeight="1">
      <c r="A391" s="5"/>
      <c r="B391" s="30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8.75" customHeight="1">
      <c r="A392" s="5"/>
      <c r="B392" s="30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8.75" customHeight="1">
      <c r="A393" s="5"/>
      <c r="B393" s="30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8.75" customHeight="1">
      <c r="A394" s="5"/>
      <c r="B394" s="30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8.75" customHeight="1">
      <c r="A395" s="5"/>
      <c r="B395" s="30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8.75" customHeight="1">
      <c r="A396" s="5"/>
      <c r="B396" s="30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8.75" customHeight="1">
      <c r="A397" s="5"/>
      <c r="B397" s="30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8.75" customHeight="1">
      <c r="A398" s="5"/>
      <c r="B398" s="30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8.75" customHeight="1">
      <c r="A399" s="5"/>
      <c r="B399" s="30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8.75" customHeight="1">
      <c r="A400" s="5"/>
      <c r="B400" s="30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8.75" customHeight="1">
      <c r="A401" s="5"/>
      <c r="B401" s="30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8.75" customHeight="1">
      <c r="A402" s="5"/>
      <c r="B402" s="30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8.75" customHeight="1">
      <c r="A403" s="5"/>
      <c r="B403" s="30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8.75" customHeight="1">
      <c r="A404" s="5"/>
      <c r="B404" s="30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8.75" customHeight="1">
      <c r="A405" s="5"/>
      <c r="B405" s="30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8.75" customHeight="1">
      <c r="A406" s="5"/>
      <c r="B406" s="30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8.75" customHeight="1">
      <c r="A407" s="5"/>
      <c r="B407" s="30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8.75" customHeight="1">
      <c r="A408" s="5"/>
      <c r="B408" s="30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8.75" customHeight="1">
      <c r="A409" s="5"/>
      <c r="B409" s="30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8.75" customHeight="1">
      <c r="A410" s="5"/>
      <c r="B410" s="30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8.75" customHeight="1">
      <c r="A411" s="5"/>
      <c r="B411" s="30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8.75" customHeight="1">
      <c r="A412" s="5"/>
      <c r="B412" s="30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8.75" customHeight="1">
      <c r="A413" s="5"/>
      <c r="B413" s="30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8.75" customHeight="1">
      <c r="A414" s="5"/>
      <c r="B414" s="30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8.75" customHeight="1">
      <c r="A415" s="5"/>
      <c r="B415" s="30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8.75" customHeight="1">
      <c r="A416" s="5"/>
      <c r="B416" s="30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8.75" customHeight="1">
      <c r="A417" s="5"/>
      <c r="B417" s="30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8.75" customHeight="1">
      <c r="A418" s="5"/>
      <c r="B418" s="30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8.75" customHeight="1">
      <c r="A419" s="5"/>
      <c r="B419" s="30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8.75" customHeight="1">
      <c r="A420" s="5"/>
      <c r="B420" s="30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8.75" customHeight="1">
      <c r="A421" s="5"/>
      <c r="B421" s="30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8.75" customHeight="1">
      <c r="A422" s="5"/>
      <c r="B422" s="30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8.75" customHeight="1">
      <c r="A423" s="5"/>
      <c r="B423" s="30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8.75" customHeight="1">
      <c r="A424" s="5"/>
      <c r="B424" s="30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8.75" customHeight="1">
      <c r="A425" s="5"/>
      <c r="B425" s="30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8.75" customHeight="1">
      <c r="A426" s="5"/>
      <c r="B426" s="30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8.75" customHeight="1">
      <c r="A427" s="5"/>
      <c r="B427" s="30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8.75" customHeight="1">
      <c r="A428" s="5"/>
      <c r="B428" s="30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8.75" customHeight="1">
      <c r="A429" s="5"/>
      <c r="B429" s="30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8.75" customHeight="1">
      <c r="A430" s="5"/>
      <c r="B430" s="30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8.75" customHeight="1">
      <c r="A431" s="5"/>
      <c r="B431" s="30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8.75" customHeight="1">
      <c r="A432" s="5"/>
      <c r="B432" s="30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8.75" customHeight="1">
      <c r="A433" s="5"/>
      <c r="B433" s="30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8.75" customHeight="1">
      <c r="A434" s="5"/>
      <c r="B434" s="30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8.75" customHeight="1">
      <c r="A435" s="5"/>
      <c r="B435" s="30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8.75" customHeight="1">
      <c r="A436" s="5"/>
      <c r="B436" s="30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8.75" customHeight="1">
      <c r="A437" s="5"/>
      <c r="B437" s="30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8.75" customHeight="1">
      <c r="A438" s="5"/>
      <c r="B438" s="30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8.75" customHeight="1">
      <c r="A439" s="5"/>
      <c r="B439" s="30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8.75" customHeight="1">
      <c r="A440" s="5"/>
      <c r="B440" s="30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8.75" customHeight="1">
      <c r="A441" s="5"/>
      <c r="B441" s="30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8.75" customHeight="1">
      <c r="A442" s="5"/>
      <c r="B442" s="30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8.75" customHeight="1">
      <c r="A443" s="5"/>
      <c r="B443" s="30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8.75" customHeight="1">
      <c r="A444" s="5"/>
      <c r="B444" s="30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8.75" customHeight="1">
      <c r="A445" s="5"/>
      <c r="B445" s="30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8.75" customHeight="1">
      <c r="A446" s="5"/>
      <c r="B446" s="30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8.75" customHeight="1">
      <c r="A447" s="5"/>
      <c r="B447" s="30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8.75" customHeight="1">
      <c r="A448" s="5"/>
      <c r="B448" s="30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8.75" customHeight="1">
      <c r="A449" s="5"/>
      <c r="B449" s="30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8.75" customHeight="1">
      <c r="A450" s="5"/>
      <c r="B450" s="30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8.75" customHeight="1">
      <c r="A451" s="5"/>
      <c r="B451" s="30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8.75" customHeight="1">
      <c r="A452" s="5"/>
      <c r="B452" s="30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8.75" customHeight="1">
      <c r="A453" s="5"/>
      <c r="B453" s="30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8.75" customHeight="1">
      <c r="A454" s="5"/>
      <c r="B454" s="30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8.75" customHeight="1">
      <c r="A455" s="5"/>
      <c r="B455" s="30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8.75" customHeight="1">
      <c r="A456" s="5"/>
      <c r="B456" s="30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8.75" customHeight="1">
      <c r="A457" s="5"/>
      <c r="B457" s="30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8.75" customHeight="1">
      <c r="A458" s="5"/>
      <c r="B458" s="30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8.75" customHeight="1">
      <c r="A459" s="5"/>
      <c r="B459" s="30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8.75" customHeight="1">
      <c r="A460" s="5"/>
      <c r="B460" s="30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8.75" customHeight="1">
      <c r="A461" s="5"/>
      <c r="B461" s="30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8.75" customHeight="1">
      <c r="A462" s="5"/>
      <c r="B462" s="30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8.75" customHeight="1">
      <c r="A463" s="5"/>
      <c r="B463" s="30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8.75" customHeight="1">
      <c r="A464" s="5"/>
      <c r="B464" s="30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8.75" customHeight="1">
      <c r="A465" s="5"/>
      <c r="B465" s="30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8.75" customHeight="1">
      <c r="A466" s="5"/>
      <c r="B466" s="30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8.75" customHeight="1">
      <c r="A467" s="5"/>
      <c r="B467" s="30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8.75" customHeight="1">
      <c r="A468" s="5"/>
      <c r="B468" s="30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8.75" customHeight="1">
      <c r="A469" s="5"/>
      <c r="B469" s="30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8.75" customHeight="1">
      <c r="A470" s="5"/>
      <c r="B470" s="30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8.75" customHeight="1">
      <c r="A471" s="5"/>
      <c r="B471" s="30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8.75" customHeight="1">
      <c r="A472" s="5"/>
      <c r="B472" s="30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8.75" customHeight="1">
      <c r="A473" s="5"/>
      <c r="B473" s="30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8.75" customHeight="1">
      <c r="A474" s="5"/>
      <c r="B474" s="30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8.75" customHeight="1">
      <c r="A475" s="5"/>
      <c r="B475" s="30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8.75" customHeight="1">
      <c r="A476" s="5"/>
      <c r="B476" s="30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8.75" customHeight="1">
      <c r="A477" s="5"/>
      <c r="B477" s="30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8.75" customHeight="1">
      <c r="A478" s="5"/>
      <c r="B478" s="30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8.75" customHeight="1">
      <c r="A479" s="5"/>
      <c r="B479" s="30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8.75" customHeight="1">
      <c r="A480" s="5"/>
      <c r="B480" s="30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8.75" customHeight="1">
      <c r="A481" s="5"/>
      <c r="B481" s="30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8.75" customHeight="1">
      <c r="A482" s="5"/>
      <c r="B482" s="30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8.75" customHeight="1">
      <c r="A483" s="5"/>
      <c r="B483" s="30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8.75" customHeight="1">
      <c r="A484" s="5"/>
      <c r="B484" s="30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8.75" customHeight="1">
      <c r="A485" s="5"/>
      <c r="B485" s="30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8.75" customHeight="1">
      <c r="A486" s="5"/>
      <c r="B486" s="30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8.75" customHeight="1">
      <c r="A487" s="5"/>
      <c r="B487" s="30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8.75" customHeight="1">
      <c r="A488" s="5"/>
      <c r="B488" s="30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8.75" customHeight="1">
      <c r="A489" s="5"/>
      <c r="B489" s="30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8.75" customHeight="1">
      <c r="A490" s="5"/>
      <c r="B490" s="30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8.75" customHeight="1">
      <c r="A491" s="5"/>
      <c r="B491" s="30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8.75" customHeight="1">
      <c r="A492" s="5"/>
      <c r="B492" s="30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8.75" customHeight="1">
      <c r="A493" s="5"/>
      <c r="B493" s="30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8.75" customHeight="1">
      <c r="A494" s="5"/>
      <c r="B494" s="30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8.75" customHeight="1">
      <c r="A495" s="5"/>
      <c r="B495" s="30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8.75" customHeight="1">
      <c r="A496" s="5"/>
      <c r="B496" s="30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8.75" customHeight="1">
      <c r="A497" s="5"/>
      <c r="B497" s="30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8.75" customHeight="1">
      <c r="A498" s="5"/>
      <c r="B498" s="30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8.75" customHeight="1">
      <c r="A499" s="5"/>
      <c r="B499" s="30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8.75" customHeight="1">
      <c r="A500" s="5"/>
      <c r="B500" s="30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8.75" customHeight="1">
      <c r="A501" s="5"/>
      <c r="B501" s="30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8.75" customHeight="1">
      <c r="A502" s="5"/>
      <c r="B502" s="30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8.75" customHeight="1">
      <c r="A503" s="5"/>
      <c r="B503" s="30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8.75" customHeight="1">
      <c r="A504" s="5"/>
      <c r="B504" s="30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8.75" customHeight="1">
      <c r="A505" s="5"/>
      <c r="B505" s="30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8.75" customHeight="1">
      <c r="A506" s="5"/>
      <c r="B506" s="30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8.75" customHeight="1">
      <c r="A507" s="5"/>
      <c r="B507" s="30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8.75" customHeight="1">
      <c r="A508" s="5"/>
      <c r="B508" s="30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8.75" customHeight="1">
      <c r="A509" s="5"/>
      <c r="B509" s="30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8.75" customHeight="1">
      <c r="A510" s="5"/>
      <c r="B510" s="30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8.75" customHeight="1">
      <c r="A511" s="5"/>
      <c r="B511" s="30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8.75" customHeight="1">
      <c r="A512" s="5"/>
      <c r="B512" s="30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8.75" customHeight="1">
      <c r="A513" s="5"/>
      <c r="B513" s="30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8.75" customHeight="1">
      <c r="A514" s="5"/>
      <c r="B514" s="30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8.75" customHeight="1">
      <c r="A515" s="5"/>
      <c r="B515" s="30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8.75" customHeight="1">
      <c r="A516" s="5"/>
      <c r="B516" s="30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8.75" customHeight="1">
      <c r="A517" s="5"/>
      <c r="B517" s="30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8.75" customHeight="1">
      <c r="A518" s="5"/>
      <c r="B518" s="30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8.75" customHeight="1">
      <c r="A519" s="5"/>
      <c r="B519" s="30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8.75" customHeight="1">
      <c r="A520" s="5"/>
      <c r="B520" s="30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8.75" customHeight="1">
      <c r="A521" s="5"/>
      <c r="B521" s="30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8.75" customHeight="1">
      <c r="A522" s="5"/>
      <c r="B522" s="30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8.75" customHeight="1">
      <c r="A523" s="5"/>
      <c r="B523" s="30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8.75" customHeight="1">
      <c r="A524" s="5"/>
      <c r="B524" s="30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8.75" customHeight="1">
      <c r="A525" s="5"/>
      <c r="B525" s="30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8.75" customHeight="1">
      <c r="A526" s="5"/>
      <c r="B526" s="30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8.75" customHeight="1">
      <c r="A527" s="5"/>
      <c r="B527" s="30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8.75" customHeight="1">
      <c r="A528" s="5"/>
      <c r="B528" s="30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8.75" customHeight="1">
      <c r="A529" s="5"/>
      <c r="B529" s="30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8.75" customHeight="1">
      <c r="A530" s="5"/>
      <c r="B530" s="30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8.75" customHeight="1">
      <c r="A531" s="5"/>
      <c r="B531" s="30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8.75" customHeight="1">
      <c r="A532" s="5"/>
      <c r="B532" s="30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8.75" customHeight="1">
      <c r="A533" s="5"/>
      <c r="B533" s="30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8.75" customHeight="1">
      <c r="A534" s="5"/>
      <c r="B534" s="30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8.75" customHeight="1">
      <c r="A535" s="5"/>
      <c r="B535" s="30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8.75" customHeight="1">
      <c r="A536" s="5"/>
      <c r="B536" s="30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8.75" customHeight="1">
      <c r="A537" s="5"/>
      <c r="B537" s="30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8.75" customHeight="1">
      <c r="A538" s="5"/>
      <c r="B538" s="30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8.75" customHeight="1">
      <c r="A539" s="5"/>
      <c r="B539" s="30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8.75" customHeight="1">
      <c r="A540" s="5"/>
      <c r="B540" s="30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8.75" customHeight="1">
      <c r="A541" s="5"/>
      <c r="B541" s="30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8.75" customHeight="1">
      <c r="A542" s="5"/>
      <c r="B542" s="30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8.75" customHeight="1">
      <c r="A543" s="5"/>
      <c r="B543" s="30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8.75" customHeight="1">
      <c r="A544" s="5"/>
      <c r="B544" s="30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8.75" customHeight="1">
      <c r="A545" s="5"/>
      <c r="B545" s="30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8.75" customHeight="1">
      <c r="A546" s="5"/>
      <c r="B546" s="30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8.75" customHeight="1">
      <c r="A547" s="5"/>
      <c r="B547" s="30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8.75" customHeight="1">
      <c r="A548" s="5"/>
      <c r="B548" s="30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8.75" customHeight="1">
      <c r="A549" s="5"/>
      <c r="B549" s="30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8.75" customHeight="1">
      <c r="A550" s="5"/>
      <c r="B550" s="30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8.75" customHeight="1">
      <c r="A551" s="5"/>
      <c r="B551" s="30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8.75" customHeight="1">
      <c r="A552" s="5"/>
      <c r="B552" s="30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8.75" customHeight="1">
      <c r="A553" s="5"/>
      <c r="B553" s="30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8.75" customHeight="1">
      <c r="A554" s="5"/>
      <c r="B554" s="30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8.75" customHeight="1">
      <c r="A555" s="5"/>
      <c r="B555" s="30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8.75" customHeight="1">
      <c r="A556" s="5"/>
      <c r="B556" s="30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8.75" customHeight="1">
      <c r="A557" s="5"/>
      <c r="B557" s="30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8.75" customHeight="1">
      <c r="A558" s="5"/>
      <c r="B558" s="30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8.75" customHeight="1">
      <c r="A559" s="5"/>
      <c r="B559" s="30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8.75" customHeight="1">
      <c r="A560" s="5"/>
      <c r="B560" s="30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8.75" customHeight="1">
      <c r="A561" s="5"/>
      <c r="B561" s="30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8.75" customHeight="1">
      <c r="A562" s="5"/>
      <c r="B562" s="30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8.75" customHeight="1">
      <c r="A563" s="5"/>
      <c r="B563" s="30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8.75" customHeight="1">
      <c r="A564" s="5"/>
      <c r="B564" s="30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8.75" customHeight="1">
      <c r="A565" s="5"/>
      <c r="B565" s="30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8.75" customHeight="1">
      <c r="A566" s="5"/>
      <c r="B566" s="30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8.75" customHeight="1">
      <c r="A567" s="5"/>
      <c r="B567" s="30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8.75" customHeight="1">
      <c r="A568" s="5"/>
      <c r="B568" s="30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8.75" customHeight="1">
      <c r="A569" s="5"/>
      <c r="B569" s="30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8.75" customHeight="1">
      <c r="A570" s="5"/>
      <c r="B570" s="30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8.75" customHeight="1">
      <c r="A571" s="5"/>
      <c r="B571" s="30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8.75" customHeight="1">
      <c r="A572" s="5"/>
      <c r="B572" s="30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8.75" customHeight="1">
      <c r="A573" s="5"/>
      <c r="B573" s="30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8.75" customHeight="1">
      <c r="A574" s="5"/>
      <c r="B574" s="30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8.75" customHeight="1">
      <c r="A575" s="5"/>
      <c r="B575" s="30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8.75" customHeight="1">
      <c r="A576" s="5"/>
      <c r="B576" s="30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8.75" customHeight="1">
      <c r="A577" s="5"/>
      <c r="B577" s="30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8.75" customHeight="1">
      <c r="A578" s="5"/>
      <c r="B578" s="30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8.75" customHeight="1">
      <c r="A579" s="5"/>
      <c r="B579" s="30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8.75" customHeight="1">
      <c r="A580" s="5"/>
      <c r="B580" s="30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8.75" customHeight="1">
      <c r="A581" s="5"/>
      <c r="B581" s="30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8.75" customHeight="1">
      <c r="A582" s="5"/>
      <c r="B582" s="30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8.75" customHeight="1">
      <c r="A583" s="5"/>
      <c r="B583" s="30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8.75" customHeight="1">
      <c r="A584" s="5"/>
      <c r="B584" s="30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8.75" customHeight="1">
      <c r="A585" s="5"/>
      <c r="B585" s="30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8.75" customHeight="1">
      <c r="A586" s="5"/>
      <c r="B586" s="30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8.75" customHeight="1">
      <c r="A587" s="5"/>
      <c r="B587" s="30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8.75" customHeight="1">
      <c r="A588" s="5"/>
      <c r="B588" s="30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8.75" customHeight="1">
      <c r="A589" s="5"/>
      <c r="B589" s="30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8.75" customHeight="1">
      <c r="A590" s="5"/>
      <c r="B590" s="30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8.75" customHeight="1">
      <c r="A591" s="5"/>
      <c r="B591" s="30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8.75" customHeight="1">
      <c r="A592" s="5"/>
      <c r="B592" s="30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8.75" customHeight="1">
      <c r="A593" s="5"/>
      <c r="B593" s="30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8.75" customHeight="1">
      <c r="A594" s="5"/>
      <c r="B594" s="30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8.75" customHeight="1">
      <c r="A595" s="5"/>
      <c r="B595" s="30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8.75" customHeight="1">
      <c r="A596" s="5"/>
      <c r="B596" s="30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8.75" customHeight="1">
      <c r="A597" s="5"/>
      <c r="B597" s="30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8.75" customHeight="1">
      <c r="A598" s="5"/>
      <c r="B598" s="30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8.75" customHeight="1">
      <c r="A599" s="5"/>
      <c r="B599" s="30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8.75" customHeight="1">
      <c r="A600" s="5"/>
      <c r="B600" s="30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8.75" customHeight="1">
      <c r="A601" s="5"/>
      <c r="B601" s="30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8.75" customHeight="1">
      <c r="A602" s="5"/>
      <c r="B602" s="30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8.75" customHeight="1">
      <c r="A603" s="5"/>
      <c r="B603" s="30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8.75" customHeight="1">
      <c r="A604" s="5"/>
      <c r="B604" s="30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8.75" customHeight="1">
      <c r="A605" s="5"/>
      <c r="B605" s="30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8.75" customHeight="1">
      <c r="A606" s="5"/>
      <c r="B606" s="30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8.75" customHeight="1">
      <c r="A607" s="5"/>
      <c r="B607" s="30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8.75" customHeight="1">
      <c r="A608" s="5"/>
      <c r="B608" s="30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8.75" customHeight="1">
      <c r="A609" s="5"/>
      <c r="B609" s="30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8.75" customHeight="1">
      <c r="A610" s="5"/>
      <c r="B610" s="30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8.75" customHeight="1">
      <c r="A611" s="5"/>
      <c r="B611" s="30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8.75" customHeight="1">
      <c r="A612" s="5"/>
      <c r="B612" s="30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8.75" customHeight="1">
      <c r="A613" s="5"/>
      <c r="B613" s="30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8.75" customHeight="1">
      <c r="A614" s="5"/>
      <c r="B614" s="30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8.75" customHeight="1">
      <c r="A615" s="5"/>
      <c r="B615" s="30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8.75" customHeight="1">
      <c r="A616" s="5"/>
      <c r="B616" s="30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8.75" customHeight="1">
      <c r="A617" s="5"/>
      <c r="B617" s="30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8.75" customHeight="1">
      <c r="A618" s="5"/>
      <c r="B618" s="30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8.75" customHeight="1">
      <c r="A619" s="5"/>
      <c r="B619" s="30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8.75" customHeight="1">
      <c r="A620" s="5"/>
      <c r="B620" s="30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8.75" customHeight="1">
      <c r="A621" s="5"/>
      <c r="B621" s="30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8.75" customHeight="1">
      <c r="A622" s="5"/>
      <c r="B622" s="30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8.75" customHeight="1">
      <c r="A623" s="5"/>
      <c r="B623" s="30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8.75" customHeight="1">
      <c r="A624" s="5"/>
      <c r="B624" s="30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8.75" customHeight="1">
      <c r="A625" s="5"/>
      <c r="B625" s="30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8.75" customHeight="1">
      <c r="A626" s="5"/>
      <c r="B626" s="30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8.75" customHeight="1">
      <c r="A627" s="5"/>
      <c r="B627" s="30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8.75" customHeight="1">
      <c r="A628" s="5"/>
      <c r="B628" s="30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8.75" customHeight="1">
      <c r="A629" s="5"/>
      <c r="B629" s="30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8.75" customHeight="1">
      <c r="A630" s="5"/>
      <c r="B630" s="30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8.75" customHeight="1">
      <c r="A631" s="5"/>
      <c r="B631" s="30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8.75" customHeight="1">
      <c r="A632" s="5"/>
      <c r="B632" s="30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8.75" customHeight="1">
      <c r="A633" s="5"/>
      <c r="B633" s="30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8.75" customHeight="1">
      <c r="A634" s="5"/>
      <c r="B634" s="30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8.75" customHeight="1">
      <c r="A635" s="5"/>
      <c r="B635" s="30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8.75" customHeight="1">
      <c r="A636" s="5"/>
      <c r="B636" s="30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8.75" customHeight="1">
      <c r="A637" s="5"/>
      <c r="B637" s="30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8.75" customHeight="1">
      <c r="A638" s="5"/>
      <c r="B638" s="30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8.75" customHeight="1">
      <c r="A639" s="5"/>
      <c r="B639" s="30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8.75" customHeight="1">
      <c r="A640" s="5"/>
      <c r="B640" s="30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8.75" customHeight="1">
      <c r="A641" s="5"/>
      <c r="B641" s="30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8.75" customHeight="1">
      <c r="A642" s="5"/>
      <c r="B642" s="30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8.75" customHeight="1">
      <c r="A643" s="5"/>
      <c r="B643" s="30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8.75" customHeight="1">
      <c r="A644" s="5"/>
      <c r="B644" s="30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8.75" customHeight="1">
      <c r="A645" s="5"/>
      <c r="B645" s="30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8.75" customHeight="1">
      <c r="A646" s="5"/>
      <c r="B646" s="30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8.75" customHeight="1">
      <c r="A647" s="5"/>
      <c r="B647" s="30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8.75" customHeight="1">
      <c r="A648" s="5"/>
      <c r="B648" s="30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8.75" customHeight="1">
      <c r="A649" s="5"/>
      <c r="B649" s="30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8.75" customHeight="1">
      <c r="A650" s="5"/>
      <c r="B650" s="30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8.75" customHeight="1">
      <c r="A651" s="5"/>
      <c r="B651" s="30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8.75" customHeight="1">
      <c r="A652" s="5"/>
      <c r="B652" s="30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8.75" customHeight="1">
      <c r="A653" s="5"/>
      <c r="B653" s="30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8.75" customHeight="1">
      <c r="A654" s="5"/>
      <c r="B654" s="30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8.75" customHeight="1">
      <c r="A655" s="5"/>
      <c r="B655" s="30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8.75" customHeight="1">
      <c r="A656" s="5"/>
      <c r="B656" s="30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8.75" customHeight="1">
      <c r="A657" s="5"/>
      <c r="B657" s="30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8.75" customHeight="1">
      <c r="A658" s="5"/>
      <c r="B658" s="30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8.75" customHeight="1">
      <c r="A659" s="5"/>
      <c r="B659" s="30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8.75" customHeight="1">
      <c r="A660" s="5"/>
      <c r="B660" s="30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8.75" customHeight="1">
      <c r="A661" s="5"/>
      <c r="B661" s="30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8.75" customHeight="1">
      <c r="A662" s="5"/>
      <c r="B662" s="30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8.75" customHeight="1">
      <c r="A663" s="5"/>
      <c r="B663" s="30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8.75" customHeight="1">
      <c r="A664" s="5"/>
      <c r="B664" s="30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8.75" customHeight="1">
      <c r="A665" s="5"/>
      <c r="B665" s="30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8.75" customHeight="1">
      <c r="A666" s="5"/>
      <c r="B666" s="30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8.75" customHeight="1">
      <c r="A667" s="5"/>
      <c r="B667" s="30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8.75" customHeight="1">
      <c r="A668" s="5"/>
      <c r="B668" s="30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8.75" customHeight="1">
      <c r="A669" s="5"/>
      <c r="B669" s="30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8.75" customHeight="1">
      <c r="A670" s="5"/>
      <c r="B670" s="30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8.75" customHeight="1">
      <c r="A671" s="5"/>
      <c r="B671" s="30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8.75" customHeight="1">
      <c r="A672" s="5"/>
      <c r="B672" s="30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8.75" customHeight="1">
      <c r="A673" s="5"/>
      <c r="B673" s="30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8.75" customHeight="1">
      <c r="A674" s="5"/>
      <c r="B674" s="30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8.75" customHeight="1">
      <c r="A675" s="5"/>
      <c r="B675" s="30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8.75" customHeight="1">
      <c r="A676" s="5"/>
      <c r="B676" s="30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8.75" customHeight="1">
      <c r="A677" s="5"/>
      <c r="B677" s="30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8.75" customHeight="1">
      <c r="A678" s="5"/>
      <c r="B678" s="30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8.75" customHeight="1">
      <c r="A679" s="5"/>
      <c r="B679" s="30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8.75" customHeight="1">
      <c r="A680" s="5"/>
      <c r="B680" s="30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8.75" customHeight="1">
      <c r="A681" s="5"/>
      <c r="B681" s="30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8.75" customHeight="1">
      <c r="A682" s="5"/>
      <c r="B682" s="30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8.75" customHeight="1">
      <c r="A683" s="5"/>
      <c r="B683" s="30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8.75" customHeight="1">
      <c r="A684" s="5"/>
      <c r="B684" s="30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8.75" customHeight="1">
      <c r="A685" s="5"/>
      <c r="B685" s="30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8.75" customHeight="1">
      <c r="A686" s="5"/>
      <c r="B686" s="30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8.75" customHeight="1">
      <c r="A687" s="5"/>
      <c r="B687" s="30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8.75" customHeight="1">
      <c r="A688" s="5"/>
      <c r="B688" s="30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8.75" customHeight="1">
      <c r="A689" s="5"/>
      <c r="B689" s="30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8.75" customHeight="1">
      <c r="A690" s="5"/>
      <c r="B690" s="30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8.75" customHeight="1">
      <c r="A691" s="5"/>
      <c r="B691" s="30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8.75" customHeight="1">
      <c r="A692" s="5"/>
      <c r="B692" s="30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8.75" customHeight="1">
      <c r="A693" s="5"/>
      <c r="B693" s="30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8.75" customHeight="1">
      <c r="A694" s="5"/>
      <c r="B694" s="30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8.75" customHeight="1">
      <c r="A695" s="5"/>
      <c r="B695" s="30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8.75" customHeight="1">
      <c r="A696" s="5"/>
      <c r="B696" s="30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8.75" customHeight="1">
      <c r="A697" s="5"/>
      <c r="B697" s="30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8.75" customHeight="1">
      <c r="A698" s="5"/>
      <c r="B698" s="30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8.75" customHeight="1">
      <c r="A699" s="5"/>
      <c r="B699" s="30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8.75" customHeight="1">
      <c r="A700" s="5"/>
      <c r="B700" s="30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8.75" customHeight="1">
      <c r="A701" s="5"/>
      <c r="B701" s="30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8.75" customHeight="1">
      <c r="A702" s="5"/>
      <c r="B702" s="30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8.75" customHeight="1">
      <c r="A703" s="5"/>
      <c r="B703" s="30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8.75" customHeight="1">
      <c r="A704" s="5"/>
      <c r="B704" s="30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8.75" customHeight="1">
      <c r="A705" s="5"/>
      <c r="B705" s="30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8.75" customHeight="1">
      <c r="A706" s="5"/>
      <c r="B706" s="30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8.75" customHeight="1">
      <c r="A707" s="5"/>
      <c r="B707" s="30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8.75" customHeight="1">
      <c r="A708" s="5"/>
      <c r="B708" s="30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8.75" customHeight="1">
      <c r="A709" s="5"/>
      <c r="B709" s="30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8.75" customHeight="1">
      <c r="A710" s="5"/>
      <c r="B710" s="30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8.75" customHeight="1">
      <c r="A711" s="5"/>
      <c r="B711" s="30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8.75" customHeight="1">
      <c r="A712" s="5"/>
      <c r="B712" s="30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8.75" customHeight="1">
      <c r="A713" s="5"/>
      <c r="B713" s="30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8.75" customHeight="1">
      <c r="A714" s="5"/>
      <c r="B714" s="30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8.75" customHeight="1">
      <c r="A715" s="5"/>
      <c r="B715" s="30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8.75" customHeight="1">
      <c r="A716" s="5"/>
      <c r="B716" s="30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8.75" customHeight="1">
      <c r="A717" s="5"/>
      <c r="B717" s="30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8.75" customHeight="1">
      <c r="A718" s="5"/>
      <c r="B718" s="30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8.75" customHeight="1">
      <c r="A719" s="5"/>
      <c r="B719" s="30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8.75" customHeight="1">
      <c r="A720" s="5"/>
      <c r="B720" s="30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8.75" customHeight="1">
      <c r="A721" s="5"/>
      <c r="B721" s="30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8.75" customHeight="1">
      <c r="A722" s="5"/>
      <c r="B722" s="30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8.75" customHeight="1">
      <c r="A723" s="5"/>
      <c r="B723" s="30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8.75" customHeight="1">
      <c r="A724" s="5"/>
      <c r="B724" s="30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8.75" customHeight="1">
      <c r="A725" s="5"/>
      <c r="B725" s="30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8.75" customHeight="1">
      <c r="A726" s="5"/>
      <c r="B726" s="30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8.75" customHeight="1">
      <c r="A727" s="5"/>
      <c r="B727" s="30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8.75" customHeight="1">
      <c r="A728" s="5"/>
      <c r="B728" s="30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8.75" customHeight="1">
      <c r="A729" s="5"/>
      <c r="B729" s="30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8.75" customHeight="1">
      <c r="A730" s="5"/>
      <c r="B730" s="30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8.75" customHeight="1">
      <c r="A731" s="5"/>
      <c r="B731" s="30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8.75" customHeight="1">
      <c r="A732" s="5"/>
      <c r="B732" s="30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8.75" customHeight="1">
      <c r="A733" s="5"/>
      <c r="B733" s="30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8.75" customHeight="1">
      <c r="A734" s="5"/>
      <c r="B734" s="30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8.75" customHeight="1">
      <c r="A735" s="5"/>
      <c r="B735" s="30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8.75" customHeight="1">
      <c r="A736" s="5"/>
      <c r="B736" s="30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8.75" customHeight="1">
      <c r="A737" s="5"/>
      <c r="B737" s="30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8.75" customHeight="1">
      <c r="A738" s="5"/>
      <c r="B738" s="30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8.75" customHeight="1">
      <c r="A739" s="5"/>
      <c r="B739" s="30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8.75" customHeight="1">
      <c r="A740" s="5"/>
      <c r="B740" s="30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8.75" customHeight="1">
      <c r="A741" s="5"/>
      <c r="B741" s="30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8.75" customHeight="1">
      <c r="A742" s="5"/>
      <c r="B742" s="30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8.75" customHeight="1">
      <c r="A743" s="5"/>
      <c r="B743" s="30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8.75" customHeight="1">
      <c r="A744" s="5"/>
      <c r="B744" s="30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8.75" customHeight="1">
      <c r="A745" s="5"/>
      <c r="B745" s="30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8.75" customHeight="1">
      <c r="A746" s="5"/>
      <c r="B746" s="30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8.75" customHeight="1">
      <c r="A747" s="5"/>
      <c r="B747" s="30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8.75" customHeight="1">
      <c r="A748" s="5"/>
      <c r="B748" s="30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8.75" customHeight="1">
      <c r="A749" s="5"/>
      <c r="B749" s="30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8.75" customHeight="1">
      <c r="A750" s="5"/>
      <c r="B750" s="30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8.75" customHeight="1">
      <c r="A751" s="5"/>
      <c r="B751" s="30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8.75" customHeight="1">
      <c r="A752" s="5"/>
      <c r="B752" s="30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8.75" customHeight="1">
      <c r="A753" s="5"/>
      <c r="B753" s="30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8.75" customHeight="1">
      <c r="A754" s="5"/>
      <c r="B754" s="30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8.75" customHeight="1">
      <c r="A755" s="5"/>
      <c r="B755" s="30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8.75" customHeight="1">
      <c r="A756" s="5"/>
      <c r="B756" s="30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8.75" customHeight="1">
      <c r="A757" s="5"/>
      <c r="B757" s="30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8.75" customHeight="1">
      <c r="A758" s="5"/>
      <c r="B758" s="30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8.75" customHeight="1">
      <c r="A759" s="5"/>
      <c r="B759" s="30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8.75" customHeight="1">
      <c r="A760" s="5"/>
      <c r="B760" s="30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8.75" customHeight="1">
      <c r="A761" s="5"/>
      <c r="B761" s="30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8.75" customHeight="1">
      <c r="A762" s="5"/>
      <c r="B762" s="30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8.75" customHeight="1">
      <c r="A763" s="5"/>
      <c r="B763" s="30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8.75" customHeight="1">
      <c r="A764" s="5"/>
      <c r="B764" s="30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8.75" customHeight="1">
      <c r="A765" s="5"/>
      <c r="B765" s="30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8.75" customHeight="1">
      <c r="A766" s="5"/>
      <c r="B766" s="30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8.75" customHeight="1">
      <c r="A767" s="5"/>
      <c r="B767" s="30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8.75" customHeight="1">
      <c r="A768" s="5"/>
      <c r="B768" s="30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8.75" customHeight="1">
      <c r="A769" s="5"/>
      <c r="B769" s="30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8.75" customHeight="1">
      <c r="A770" s="5"/>
      <c r="B770" s="30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8.75" customHeight="1">
      <c r="A771" s="5"/>
      <c r="B771" s="30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8.75" customHeight="1">
      <c r="A772" s="5"/>
      <c r="B772" s="30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8.75" customHeight="1">
      <c r="A773" s="5"/>
      <c r="B773" s="30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8.75" customHeight="1">
      <c r="A774" s="5"/>
      <c r="B774" s="30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8.75" customHeight="1">
      <c r="A775" s="5"/>
      <c r="B775" s="30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8.75" customHeight="1">
      <c r="A776" s="5"/>
      <c r="B776" s="30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8.75" customHeight="1">
      <c r="A777" s="5"/>
      <c r="B777" s="30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8.75" customHeight="1">
      <c r="A778" s="5"/>
      <c r="B778" s="30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8.75" customHeight="1">
      <c r="A779" s="5"/>
      <c r="B779" s="30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8.75" customHeight="1">
      <c r="A780" s="5"/>
      <c r="B780" s="30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8.75" customHeight="1">
      <c r="A781" s="5"/>
      <c r="B781" s="30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8.75" customHeight="1">
      <c r="A782" s="5"/>
      <c r="B782" s="30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8.75" customHeight="1">
      <c r="A783" s="5"/>
      <c r="B783" s="30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8.75" customHeight="1">
      <c r="A784" s="5"/>
      <c r="B784" s="30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8.75" customHeight="1">
      <c r="A785" s="5"/>
      <c r="B785" s="30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8.75" customHeight="1">
      <c r="A786" s="5"/>
      <c r="B786" s="30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8.75" customHeight="1">
      <c r="A787" s="5"/>
      <c r="B787" s="30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8.75" customHeight="1">
      <c r="A788" s="5"/>
      <c r="B788" s="30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8.75" customHeight="1">
      <c r="A789" s="5"/>
      <c r="B789" s="30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8.75" customHeight="1">
      <c r="A790" s="5"/>
      <c r="B790" s="30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8.75" customHeight="1">
      <c r="A791" s="5"/>
      <c r="B791" s="30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8.75" customHeight="1">
      <c r="A792" s="5"/>
      <c r="B792" s="30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8.75" customHeight="1">
      <c r="A793" s="5"/>
      <c r="B793" s="30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8.75" customHeight="1">
      <c r="A794" s="5"/>
      <c r="B794" s="30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8.75" customHeight="1">
      <c r="A795" s="5"/>
      <c r="B795" s="30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8.75" customHeight="1">
      <c r="A796" s="5"/>
      <c r="B796" s="30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8.75" customHeight="1">
      <c r="A797" s="5"/>
      <c r="B797" s="30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8.75" customHeight="1">
      <c r="A798" s="5"/>
      <c r="B798" s="30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8.75" customHeight="1">
      <c r="A799" s="5"/>
      <c r="B799" s="30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8.75" customHeight="1">
      <c r="A800" s="5"/>
      <c r="B800" s="30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8.75" customHeight="1">
      <c r="A801" s="5"/>
      <c r="B801" s="30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8.75" customHeight="1">
      <c r="A802" s="5"/>
      <c r="B802" s="30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8.75" customHeight="1">
      <c r="A803" s="5"/>
      <c r="B803" s="30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8.75" customHeight="1">
      <c r="A804" s="5"/>
      <c r="B804" s="30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8.75" customHeight="1">
      <c r="A805" s="5"/>
      <c r="B805" s="30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8.75" customHeight="1">
      <c r="A806" s="5"/>
      <c r="B806" s="30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8.75" customHeight="1">
      <c r="A807" s="5"/>
      <c r="B807" s="30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8.75" customHeight="1">
      <c r="A808" s="5"/>
      <c r="B808" s="30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8.75" customHeight="1">
      <c r="A809" s="5"/>
      <c r="B809" s="30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8.75" customHeight="1">
      <c r="A810" s="5"/>
      <c r="B810" s="30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8.75" customHeight="1">
      <c r="A811" s="5"/>
      <c r="B811" s="30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8.75" customHeight="1">
      <c r="A812" s="5"/>
      <c r="B812" s="30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8.75" customHeight="1">
      <c r="A813" s="5"/>
      <c r="B813" s="30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8.75" customHeight="1">
      <c r="A814" s="5"/>
      <c r="B814" s="30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8.75" customHeight="1">
      <c r="A815" s="5"/>
      <c r="B815" s="30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8.75" customHeight="1">
      <c r="A816" s="5"/>
      <c r="B816" s="30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8.75" customHeight="1">
      <c r="A817" s="5"/>
      <c r="B817" s="30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8.75" customHeight="1">
      <c r="A818" s="5"/>
      <c r="B818" s="30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8.75" customHeight="1">
      <c r="A819" s="5"/>
      <c r="B819" s="30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8.75" customHeight="1">
      <c r="A820" s="5"/>
      <c r="B820" s="30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8.75" customHeight="1">
      <c r="A821" s="5"/>
      <c r="B821" s="30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8.75" customHeight="1">
      <c r="A822" s="5"/>
      <c r="B822" s="30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8.75" customHeight="1">
      <c r="A823" s="5"/>
      <c r="B823" s="30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8.75" customHeight="1">
      <c r="A824" s="5"/>
      <c r="B824" s="30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8.75" customHeight="1">
      <c r="A825" s="5"/>
      <c r="B825" s="30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8.75" customHeight="1">
      <c r="A826" s="5"/>
      <c r="B826" s="30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8.75" customHeight="1">
      <c r="A827" s="5"/>
      <c r="B827" s="30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8.75" customHeight="1">
      <c r="A828" s="5"/>
      <c r="B828" s="30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8.75" customHeight="1">
      <c r="A829" s="5"/>
      <c r="B829" s="30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8.75" customHeight="1">
      <c r="A830" s="5"/>
      <c r="B830" s="30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8.75" customHeight="1">
      <c r="A831" s="5"/>
      <c r="B831" s="30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8.75" customHeight="1">
      <c r="A832" s="5"/>
      <c r="B832" s="30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8.75" customHeight="1">
      <c r="A833" s="5"/>
      <c r="B833" s="30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8.75" customHeight="1">
      <c r="A834" s="5"/>
      <c r="B834" s="30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8.75" customHeight="1">
      <c r="A835" s="5"/>
      <c r="B835" s="30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8.75" customHeight="1">
      <c r="A836" s="5"/>
      <c r="B836" s="30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8.75" customHeight="1">
      <c r="A837" s="5"/>
      <c r="B837" s="30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8.75" customHeight="1">
      <c r="A838" s="5"/>
      <c r="B838" s="30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8.75" customHeight="1">
      <c r="A839" s="5"/>
      <c r="B839" s="30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8.75" customHeight="1">
      <c r="A840" s="5"/>
      <c r="B840" s="30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8.75" customHeight="1">
      <c r="A841" s="5"/>
      <c r="B841" s="30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8.75" customHeight="1">
      <c r="A842" s="5"/>
      <c r="B842" s="30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8.75" customHeight="1">
      <c r="A843" s="5"/>
      <c r="B843" s="30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8.75" customHeight="1">
      <c r="A844" s="5"/>
      <c r="B844" s="30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8.75" customHeight="1">
      <c r="A845" s="5"/>
      <c r="B845" s="30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8.75" customHeight="1">
      <c r="A846" s="5"/>
      <c r="B846" s="30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8.75" customHeight="1">
      <c r="A847" s="5"/>
      <c r="B847" s="30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8.75" customHeight="1">
      <c r="A848" s="5"/>
      <c r="B848" s="30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8.75" customHeight="1">
      <c r="A849" s="5"/>
      <c r="B849" s="30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8.75" customHeight="1">
      <c r="A850" s="5"/>
      <c r="B850" s="30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8.75" customHeight="1">
      <c r="A851" s="5"/>
      <c r="B851" s="30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8.75" customHeight="1">
      <c r="A852" s="5"/>
      <c r="B852" s="30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8.75" customHeight="1">
      <c r="A853" s="5"/>
      <c r="B853" s="30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8.75" customHeight="1">
      <c r="A854" s="5"/>
      <c r="B854" s="30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8.75" customHeight="1">
      <c r="A855" s="5"/>
      <c r="B855" s="30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8.75" customHeight="1">
      <c r="A856" s="5"/>
      <c r="B856" s="30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8.75" customHeight="1">
      <c r="A857" s="5"/>
      <c r="B857" s="30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8.75" customHeight="1">
      <c r="A858" s="5"/>
      <c r="B858" s="30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8.75" customHeight="1">
      <c r="A859" s="5"/>
      <c r="B859" s="30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8.75" customHeight="1">
      <c r="A860" s="5"/>
      <c r="B860" s="30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8.75" customHeight="1">
      <c r="A861" s="5"/>
      <c r="B861" s="30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8.75" customHeight="1">
      <c r="A862" s="5"/>
      <c r="B862" s="30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8.75" customHeight="1">
      <c r="A863" s="5"/>
      <c r="B863" s="30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8.75" customHeight="1">
      <c r="A864" s="5"/>
      <c r="B864" s="30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8.75" customHeight="1">
      <c r="A865" s="5"/>
      <c r="B865" s="30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8.75" customHeight="1">
      <c r="A866" s="5"/>
      <c r="B866" s="30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8.75" customHeight="1">
      <c r="A867" s="5"/>
      <c r="B867" s="30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8.75" customHeight="1">
      <c r="A868" s="5"/>
      <c r="B868" s="30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8.75" customHeight="1">
      <c r="A869" s="5"/>
      <c r="B869" s="30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8.75" customHeight="1">
      <c r="A870" s="5"/>
      <c r="B870" s="30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8.75" customHeight="1">
      <c r="A871" s="5"/>
      <c r="B871" s="30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8.75" customHeight="1">
      <c r="A872" s="5"/>
      <c r="B872" s="30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8.75" customHeight="1">
      <c r="A873" s="5"/>
      <c r="B873" s="30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8.75" customHeight="1">
      <c r="A874" s="5"/>
      <c r="B874" s="30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8.75" customHeight="1">
      <c r="A875" s="5"/>
      <c r="B875" s="30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8.75" customHeight="1">
      <c r="A876" s="5"/>
      <c r="B876" s="30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8.75" customHeight="1">
      <c r="A877" s="5"/>
      <c r="B877" s="30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8.75" customHeight="1">
      <c r="A878" s="5"/>
      <c r="B878" s="30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8.75" customHeight="1">
      <c r="A879" s="5"/>
      <c r="B879" s="30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8.75" customHeight="1">
      <c r="A880" s="5"/>
      <c r="B880" s="30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8.75" customHeight="1">
      <c r="A881" s="5"/>
      <c r="B881" s="30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8.75" customHeight="1">
      <c r="A882" s="5"/>
      <c r="B882" s="30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8.75" customHeight="1">
      <c r="A883" s="5"/>
      <c r="B883" s="30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8.75" customHeight="1">
      <c r="A884" s="5"/>
      <c r="B884" s="30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8.75" customHeight="1">
      <c r="A885" s="5"/>
      <c r="B885" s="30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8.75" customHeight="1">
      <c r="A886" s="5"/>
      <c r="B886" s="30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8.75" customHeight="1">
      <c r="A887" s="5"/>
      <c r="B887" s="30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8.75" customHeight="1">
      <c r="A888" s="5"/>
      <c r="B888" s="30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8.75" customHeight="1">
      <c r="A889" s="5"/>
      <c r="B889" s="30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8.75" customHeight="1">
      <c r="A890" s="5"/>
      <c r="B890" s="30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8.75" customHeight="1">
      <c r="A891" s="5"/>
      <c r="B891" s="30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8.75" customHeight="1">
      <c r="A892" s="5"/>
      <c r="B892" s="30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8.75" customHeight="1">
      <c r="A893" s="5"/>
      <c r="B893" s="30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8.75" customHeight="1">
      <c r="A894" s="5"/>
      <c r="B894" s="30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8.75" customHeight="1">
      <c r="A895" s="5"/>
      <c r="B895" s="30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8.75" customHeight="1">
      <c r="A896" s="5"/>
      <c r="B896" s="30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8.75" customHeight="1">
      <c r="A897" s="5"/>
      <c r="B897" s="30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8.75" customHeight="1">
      <c r="A898" s="5"/>
      <c r="B898" s="30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8.75" customHeight="1">
      <c r="A899" s="5"/>
      <c r="B899" s="30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8.75" customHeight="1">
      <c r="A900" s="5"/>
      <c r="B900" s="30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8.75" customHeight="1">
      <c r="A901" s="5"/>
      <c r="B901" s="30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8.75" customHeight="1">
      <c r="A902" s="5"/>
      <c r="B902" s="30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8.75" customHeight="1">
      <c r="A903" s="5"/>
      <c r="B903" s="30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8.75" customHeight="1">
      <c r="A904" s="5"/>
      <c r="B904" s="30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8.75" customHeight="1">
      <c r="A905" s="5"/>
      <c r="B905" s="30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8.75" customHeight="1">
      <c r="A906" s="5"/>
      <c r="B906" s="30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8.75" customHeight="1">
      <c r="A907" s="5"/>
      <c r="B907" s="30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8.75" customHeight="1">
      <c r="A908" s="5"/>
      <c r="B908" s="30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8.75" customHeight="1">
      <c r="A909" s="5"/>
      <c r="B909" s="30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8.75" customHeight="1">
      <c r="A910" s="5"/>
      <c r="B910" s="30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8.75" customHeight="1">
      <c r="A911" s="5"/>
      <c r="B911" s="30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8.75" customHeight="1">
      <c r="A912" s="5"/>
      <c r="B912" s="30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8.75" customHeight="1">
      <c r="A913" s="5"/>
      <c r="B913" s="30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8.75" customHeight="1">
      <c r="A914" s="5"/>
      <c r="B914" s="30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8.75" customHeight="1">
      <c r="A915" s="5"/>
      <c r="B915" s="30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8.75" customHeight="1">
      <c r="A916" s="5"/>
      <c r="B916" s="30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8.75" customHeight="1">
      <c r="A917" s="5"/>
      <c r="B917" s="30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8.75" customHeight="1">
      <c r="A918" s="5"/>
      <c r="B918" s="30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8.75" customHeight="1">
      <c r="A919" s="5"/>
      <c r="B919" s="30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8.75" customHeight="1">
      <c r="A920" s="5"/>
      <c r="B920" s="30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8.75" customHeight="1">
      <c r="A921" s="5"/>
      <c r="B921" s="30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8.75" customHeight="1">
      <c r="A922" s="5"/>
      <c r="B922" s="30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8.75" customHeight="1">
      <c r="A923" s="5"/>
      <c r="B923" s="30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8.75" customHeight="1">
      <c r="A924" s="5"/>
      <c r="B924" s="30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8.75" customHeight="1">
      <c r="A925" s="5"/>
      <c r="B925" s="30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8.75" customHeight="1">
      <c r="A926" s="5"/>
      <c r="B926" s="30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8.75" customHeight="1">
      <c r="A927" s="5"/>
      <c r="B927" s="30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8.75" customHeight="1">
      <c r="A928" s="5"/>
      <c r="B928" s="30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8.75" customHeight="1">
      <c r="A929" s="5"/>
      <c r="B929" s="30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8.75" customHeight="1">
      <c r="A930" s="5"/>
      <c r="B930" s="30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8.75" customHeight="1">
      <c r="A931" s="5"/>
      <c r="B931" s="30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8.75" customHeight="1">
      <c r="A932" s="5"/>
      <c r="B932" s="30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8.75" customHeight="1">
      <c r="A933" s="5"/>
      <c r="B933" s="30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8.75" customHeight="1">
      <c r="A934" s="5"/>
      <c r="B934" s="30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8.75" customHeight="1">
      <c r="A935" s="5"/>
      <c r="B935" s="30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8.75" customHeight="1">
      <c r="A936" s="5"/>
      <c r="B936" s="30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8.75" customHeight="1">
      <c r="A937" s="5"/>
      <c r="B937" s="30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8.75" customHeight="1">
      <c r="A938" s="5"/>
      <c r="B938" s="30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8.75" customHeight="1">
      <c r="A939" s="5"/>
      <c r="B939" s="30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8.75" customHeight="1">
      <c r="A940" s="5"/>
      <c r="B940" s="30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8.75" customHeight="1">
      <c r="A941" s="5"/>
      <c r="B941" s="30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8.75" customHeight="1">
      <c r="A942" s="5"/>
      <c r="B942" s="30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8.75" customHeight="1">
      <c r="A943" s="5"/>
      <c r="B943" s="30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8.75" customHeight="1">
      <c r="A944" s="5"/>
      <c r="B944" s="30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8.75" customHeight="1">
      <c r="A945" s="5"/>
      <c r="B945" s="30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8.75" customHeight="1">
      <c r="A946" s="5"/>
      <c r="B946" s="30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8.75" customHeight="1">
      <c r="A947" s="5"/>
      <c r="B947" s="30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8.75" customHeight="1">
      <c r="A948" s="5"/>
      <c r="B948" s="30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8.75" customHeight="1">
      <c r="A949" s="5"/>
      <c r="B949" s="30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8.75" customHeight="1">
      <c r="A950" s="5"/>
      <c r="B950" s="30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8.75" customHeight="1">
      <c r="A951" s="5"/>
      <c r="B951" s="30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8.75" customHeight="1">
      <c r="A952" s="5"/>
      <c r="B952" s="30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8.75" customHeight="1">
      <c r="A953" s="5"/>
      <c r="B953" s="30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8.75" customHeight="1">
      <c r="A954" s="5"/>
      <c r="B954" s="30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8.75" customHeight="1">
      <c r="A955" s="5"/>
      <c r="B955" s="30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8.75" customHeight="1">
      <c r="A956" s="5"/>
      <c r="B956" s="30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8.75" customHeight="1">
      <c r="A957" s="5"/>
      <c r="B957" s="30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8.75" customHeight="1">
      <c r="A958" s="5"/>
      <c r="B958" s="30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8.75" customHeight="1">
      <c r="A959" s="5"/>
      <c r="B959" s="30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8.75" customHeight="1">
      <c r="A960" s="5"/>
      <c r="B960" s="30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8.75" customHeight="1">
      <c r="A961" s="5"/>
      <c r="B961" s="30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8.75" customHeight="1">
      <c r="A962" s="5"/>
      <c r="B962" s="30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8.75" customHeight="1">
      <c r="A963" s="5"/>
      <c r="B963" s="30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8.75" customHeight="1">
      <c r="A964" s="5"/>
      <c r="B964" s="30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8.75" customHeight="1">
      <c r="A965" s="5"/>
      <c r="B965" s="30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8.75" customHeight="1">
      <c r="A966" s="5"/>
      <c r="B966" s="30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8.75" customHeight="1">
      <c r="A967" s="5"/>
      <c r="B967" s="30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8.75" customHeight="1">
      <c r="A968" s="5"/>
      <c r="B968" s="30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8.75" customHeight="1">
      <c r="A969" s="5"/>
      <c r="B969" s="30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8.75" customHeight="1">
      <c r="A970" s="5"/>
      <c r="B970" s="30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8.75" customHeight="1">
      <c r="A971" s="5"/>
      <c r="B971" s="30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8.75" customHeight="1">
      <c r="A972" s="5"/>
      <c r="B972" s="30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8.75" customHeight="1">
      <c r="A973" s="5"/>
      <c r="B973" s="30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8.75" customHeight="1">
      <c r="A974" s="5"/>
      <c r="B974" s="30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8.75" customHeight="1">
      <c r="A975" s="5"/>
      <c r="B975" s="30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8.75" customHeight="1">
      <c r="A976" s="5"/>
      <c r="B976" s="30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8.75" customHeight="1">
      <c r="A977" s="5"/>
      <c r="B977" s="30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8.75" customHeight="1">
      <c r="A978" s="5"/>
      <c r="B978" s="30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8.75" customHeight="1">
      <c r="A979" s="5"/>
      <c r="B979" s="30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8.75" customHeight="1">
      <c r="A980" s="5"/>
      <c r="B980" s="30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8.75" customHeight="1">
      <c r="A981" s="5"/>
      <c r="B981" s="30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8.75" customHeight="1">
      <c r="A982" s="5"/>
      <c r="B982" s="30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8.75" customHeight="1">
      <c r="A983" s="5"/>
      <c r="B983" s="30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8.75" customHeight="1">
      <c r="A984" s="5"/>
      <c r="B984" s="30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8.75" customHeight="1">
      <c r="A985" s="5"/>
      <c r="B985" s="30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8.75" customHeight="1">
      <c r="A986" s="5"/>
      <c r="B986" s="30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8.75" customHeight="1">
      <c r="A987" s="5"/>
      <c r="B987" s="30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8.75" customHeight="1">
      <c r="A988" s="5"/>
      <c r="B988" s="30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8.75" customHeight="1">
      <c r="A989" s="5"/>
      <c r="B989" s="30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8.75" customHeight="1">
      <c r="A990" s="5"/>
      <c r="B990" s="30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8.75" customHeight="1">
      <c r="A991" s="5"/>
      <c r="B991" s="30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8.75" customHeight="1">
      <c r="A992" s="5"/>
      <c r="B992" s="30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8.75" customHeight="1">
      <c r="A993" s="5"/>
      <c r="B993" s="30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8.75" customHeight="1">
      <c r="A994" s="5"/>
      <c r="B994" s="30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8.75" customHeight="1">
      <c r="A995" s="5"/>
      <c r="B995" s="30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8.75" customHeight="1">
      <c r="A996" s="5"/>
      <c r="B996" s="30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8.75" customHeight="1">
      <c r="A997" s="5"/>
      <c r="B997" s="30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8.75" customHeight="1">
      <c r="A998" s="5"/>
      <c r="B998" s="30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8.75" customHeight="1">
      <c r="A999" s="5"/>
      <c r="B999" s="30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8.75" customHeight="1">
      <c r="A1000" s="5"/>
      <c r="B1000" s="30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A13:B13"/>
    <mergeCell ref="A14:B14"/>
    <mergeCell ref="A15:B15"/>
    <mergeCell ref="K21:L21"/>
  </mergeCells>
  <conditionalFormatting sqref="C15:Z15">
    <cfRule type="cellIs" dxfId="0" priority="1" operator="greaterThanOrEqual">
      <formula>25</formula>
    </cfRule>
  </conditionalFormatting>
  <dataValidations>
    <dataValidation type="list" allowBlank="1" showErrorMessage="1" sqref="B9">
      <formula1>衣服名冊</formula1>
    </dataValidation>
    <dataValidation type="list" allowBlank="1" showErrorMessage="1" sqref="B11">
      <formula1>鞋子名冊</formula1>
    </dataValidation>
    <dataValidation type="list" allowBlank="1" showErrorMessage="1" sqref="B10">
      <formula1>手套名冊</formula1>
    </dataValidation>
    <dataValidation type="list" allowBlank="1" showErrorMessage="1" sqref="B6">
      <formula1>主武名冊</formula1>
    </dataValidation>
    <dataValidation type="list" allowBlank="1" showErrorMessage="1" sqref="B2:B3">
      <formula1>飾品名冊</formula1>
    </dataValidation>
    <dataValidation type="list" allowBlank="1" showErrorMessage="1" sqref="B4:B5">
      <formula1>寶物名冊</formula1>
    </dataValidation>
    <dataValidation type="list" allowBlank="1" showErrorMessage="1" sqref="B7">
      <formula1>副武名冊</formula1>
    </dataValidation>
    <dataValidation type="list" allowBlank="1" showErrorMessage="1" sqref="B8">
      <formula1>頭盔名冊</formula1>
    </dataValidation>
    <dataValidation type="list" allowBlank="1" showErrorMessage="1" sqref="B12">
      <formula1>職業名冊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21.57"/>
    <col customWidth="1" min="3" max="26" width="8.71"/>
  </cols>
  <sheetData>
    <row r="1" ht="15.75" customHeight="1">
      <c r="A1" s="37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  <c r="L1" s="38" t="s">
        <v>11</v>
      </c>
      <c r="M1" s="38" t="s">
        <v>12</v>
      </c>
      <c r="N1" s="38" t="s">
        <v>13</v>
      </c>
      <c r="O1" s="38" t="s">
        <v>14</v>
      </c>
      <c r="P1" s="38" t="s">
        <v>15</v>
      </c>
      <c r="Q1" s="38" t="s">
        <v>16</v>
      </c>
      <c r="R1" s="38" t="s">
        <v>17</v>
      </c>
      <c r="S1" s="38" t="s">
        <v>18</v>
      </c>
      <c r="T1" s="38" t="s">
        <v>19</v>
      </c>
      <c r="U1" s="38" t="s">
        <v>20</v>
      </c>
      <c r="V1" s="38" t="s">
        <v>21</v>
      </c>
      <c r="W1" s="38" t="s">
        <v>22</v>
      </c>
      <c r="X1" s="38" t="s">
        <v>23</v>
      </c>
      <c r="Y1" s="38" t="s">
        <v>24</v>
      </c>
      <c r="Z1" s="38" t="s">
        <v>25</v>
      </c>
    </row>
    <row r="2" ht="15.75" customHeight="1">
      <c r="A2" s="38" t="s">
        <v>26</v>
      </c>
      <c r="B2" s="38" t="s">
        <v>48</v>
      </c>
      <c r="D2" s="38">
        <v>1.0</v>
      </c>
      <c r="E2" s="38">
        <v>1.0</v>
      </c>
      <c r="H2" s="38">
        <v>1.0</v>
      </c>
    </row>
    <row r="3" ht="15.75" customHeight="1">
      <c r="A3" s="38" t="s">
        <v>26</v>
      </c>
      <c r="B3" s="38" t="s">
        <v>27</v>
      </c>
      <c r="D3" s="38">
        <v>2.0</v>
      </c>
      <c r="E3" s="38">
        <v>1.0</v>
      </c>
      <c r="H3" s="38">
        <v>1.0</v>
      </c>
    </row>
    <row r="4" ht="15.75" customHeight="1">
      <c r="A4" s="38" t="s">
        <v>26</v>
      </c>
      <c r="B4" s="38" t="s">
        <v>52</v>
      </c>
      <c r="C4" s="38">
        <v>1.0</v>
      </c>
      <c r="H4" s="38">
        <v>1.0</v>
      </c>
      <c r="I4" s="38">
        <v>1.0</v>
      </c>
    </row>
    <row r="5" ht="15.75" customHeight="1">
      <c r="A5" s="38" t="s">
        <v>26</v>
      </c>
      <c r="B5" s="38" t="s">
        <v>53</v>
      </c>
      <c r="C5" s="38">
        <v>1.0</v>
      </c>
      <c r="H5" s="38">
        <v>1.0</v>
      </c>
      <c r="I5" s="38">
        <v>2.0</v>
      </c>
    </row>
    <row r="6" ht="15.75" customHeight="1">
      <c r="A6" s="38" t="s">
        <v>26</v>
      </c>
      <c r="B6" s="38" t="s">
        <v>54</v>
      </c>
      <c r="D6" s="38">
        <v>1.0</v>
      </c>
      <c r="I6" s="38">
        <v>1.0</v>
      </c>
      <c r="K6" s="38">
        <v>1.0</v>
      </c>
    </row>
    <row r="7" ht="15.75" customHeight="1">
      <c r="A7" s="38" t="s">
        <v>26</v>
      </c>
      <c r="B7" s="38" t="s">
        <v>55</v>
      </c>
      <c r="F7" s="38">
        <v>1.0</v>
      </c>
      <c r="J7" s="38">
        <v>1.0</v>
      </c>
      <c r="K7" s="38">
        <v>1.0</v>
      </c>
    </row>
    <row r="8" ht="15.75" customHeight="1">
      <c r="A8" s="38" t="s">
        <v>26</v>
      </c>
      <c r="B8" s="38" t="s">
        <v>56</v>
      </c>
      <c r="Q8" s="38">
        <v>1.0</v>
      </c>
      <c r="T8" s="38">
        <v>2.0</v>
      </c>
      <c r="V8" s="38">
        <v>1.0</v>
      </c>
    </row>
    <row r="9" ht="15.75" customHeight="1">
      <c r="A9" s="38" t="s">
        <v>26</v>
      </c>
      <c r="B9" s="38" t="s">
        <v>57</v>
      </c>
      <c r="K9" s="38">
        <v>1.0</v>
      </c>
      <c r="N9" s="38">
        <v>1.0</v>
      </c>
      <c r="O9" s="38">
        <v>1.0</v>
      </c>
    </row>
    <row r="10" ht="15.75" customHeight="1">
      <c r="A10" s="38" t="s">
        <v>26</v>
      </c>
      <c r="B10" s="38" t="s">
        <v>58</v>
      </c>
      <c r="T10" s="38">
        <v>1.0</v>
      </c>
      <c r="U10" s="38">
        <v>1.0</v>
      </c>
      <c r="Z10" s="38">
        <v>1.0</v>
      </c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>
      <c r="A20" s="37" t="s">
        <v>0</v>
      </c>
      <c r="B20" s="38" t="s">
        <v>1</v>
      </c>
      <c r="C20" s="38" t="s">
        <v>2</v>
      </c>
      <c r="D20" s="38" t="s">
        <v>3</v>
      </c>
      <c r="E20" s="38" t="s">
        <v>4</v>
      </c>
      <c r="F20" s="38" t="s">
        <v>5</v>
      </c>
      <c r="G20" s="38" t="s">
        <v>6</v>
      </c>
      <c r="H20" s="38" t="s">
        <v>7</v>
      </c>
      <c r="I20" s="38" t="s">
        <v>8</v>
      </c>
      <c r="J20" s="38" t="s">
        <v>9</v>
      </c>
      <c r="K20" s="38" t="s">
        <v>10</v>
      </c>
      <c r="L20" s="38" t="s">
        <v>11</v>
      </c>
      <c r="M20" s="38" t="s">
        <v>12</v>
      </c>
      <c r="N20" s="38" t="s">
        <v>13</v>
      </c>
      <c r="O20" s="38" t="s">
        <v>14</v>
      </c>
      <c r="P20" s="38" t="s">
        <v>15</v>
      </c>
      <c r="Q20" s="38" t="s">
        <v>16</v>
      </c>
      <c r="R20" s="38" t="s">
        <v>17</v>
      </c>
      <c r="S20" s="38" t="s">
        <v>18</v>
      </c>
      <c r="T20" s="38" t="s">
        <v>19</v>
      </c>
      <c r="U20" s="38" t="s">
        <v>20</v>
      </c>
      <c r="V20" s="38" t="s">
        <v>21</v>
      </c>
      <c r="W20" s="38" t="s">
        <v>22</v>
      </c>
      <c r="X20" s="38" t="s">
        <v>23</v>
      </c>
      <c r="Y20" s="38" t="s">
        <v>24</v>
      </c>
      <c r="Z20" s="38" t="s">
        <v>25</v>
      </c>
    </row>
    <row r="21" ht="15.75" customHeight="1">
      <c r="A21" s="38" t="s">
        <v>28</v>
      </c>
      <c r="B21" s="38" t="s">
        <v>29</v>
      </c>
      <c r="C21" s="38">
        <v>2.0</v>
      </c>
      <c r="F21" s="38">
        <v>1.0</v>
      </c>
      <c r="G21" s="38">
        <v>1.0</v>
      </c>
    </row>
    <row r="22" ht="15.75" customHeight="1">
      <c r="A22" s="38" t="s">
        <v>28</v>
      </c>
      <c r="B22" s="38" t="s">
        <v>59</v>
      </c>
      <c r="H22" s="38">
        <v>1.0</v>
      </c>
      <c r="K22" s="38">
        <v>1.0</v>
      </c>
    </row>
    <row r="23" ht="15.75" customHeight="1">
      <c r="A23" s="38" t="s">
        <v>28</v>
      </c>
      <c r="B23" s="38" t="s">
        <v>60</v>
      </c>
      <c r="C23" s="38">
        <v>1.0</v>
      </c>
      <c r="I23" s="38">
        <v>1.0</v>
      </c>
    </row>
    <row r="24" ht="15.75" customHeight="1">
      <c r="A24" s="38" t="s">
        <v>28</v>
      </c>
      <c r="B24" s="38" t="s">
        <v>61</v>
      </c>
      <c r="J24" s="38">
        <v>2.0</v>
      </c>
      <c r="M24" s="38">
        <v>2.0</v>
      </c>
    </row>
    <row r="25" ht="15.75" customHeight="1">
      <c r="A25" s="38" t="s">
        <v>28</v>
      </c>
      <c r="B25" s="38" t="s">
        <v>62</v>
      </c>
      <c r="M25" s="38">
        <v>1.0</v>
      </c>
      <c r="Q25" s="38">
        <v>2.0</v>
      </c>
      <c r="R25" s="38">
        <v>1.0</v>
      </c>
    </row>
    <row r="26" ht="15.75" customHeight="1">
      <c r="A26" s="38" t="s">
        <v>28</v>
      </c>
      <c r="B26" s="38" t="s">
        <v>63</v>
      </c>
      <c r="P26" s="38">
        <v>1.0</v>
      </c>
      <c r="R26" s="38">
        <v>1.0</v>
      </c>
      <c r="S26" s="38">
        <v>1.0</v>
      </c>
    </row>
    <row r="27" ht="15.75" customHeight="1">
      <c r="A27" s="38" t="s">
        <v>28</v>
      </c>
      <c r="B27" s="38" t="s">
        <v>64</v>
      </c>
      <c r="K27" s="38">
        <v>1.0</v>
      </c>
      <c r="Q27" s="38">
        <v>1.0</v>
      </c>
    </row>
    <row r="28" ht="15.75" customHeight="1">
      <c r="A28" s="38" t="s">
        <v>28</v>
      </c>
      <c r="B28" s="38" t="s">
        <v>65</v>
      </c>
      <c r="U28" s="38">
        <v>2.0</v>
      </c>
      <c r="V28" s="38">
        <v>2.0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>
      <c r="A39" s="37"/>
    </row>
    <row r="40" ht="15.75" customHeight="1">
      <c r="A40" s="37" t="s">
        <v>0</v>
      </c>
      <c r="B40" s="38" t="s">
        <v>1</v>
      </c>
      <c r="C40" s="38" t="s">
        <v>2</v>
      </c>
      <c r="D40" s="38" t="s">
        <v>3</v>
      </c>
      <c r="E40" s="38" t="s">
        <v>4</v>
      </c>
      <c r="F40" s="38" t="s">
        <v>5</v>
      </c>
      <c r="G40" s="38" t="s">
        <v>6</v>
      </c>
      <c r="H40" s="38" t="s">
        <v>7</v>
      </c>
      <c r="I40" s="38" t="s">
        <v>8</v>
      </c>
      <c r="J40" s="38" t="s">
        <v>9</v>
      </c>
      <c r="K40" s="38" t="s">
        <v>10</v>
      </c>
      <c r="L40" s="38" t="s">
        <v>11</v>
      </c>
      <c r="M40" s="38" t="s">
        <v>12</v>
      </c>
      <c r="N40" s="38" t="s">
        <v>13</v>
      </c>
      <c r="O40" s="38" t="s">
        <v>14</v>
      </c>
      <c r="P40" s="38" t="s">
        <v>15</v>
      </c>
      <c r="Q40" s="38" t="s">
        <v>16</v>
      </c>
      <c r="R40" s="38" t="s">
        <v>17</v>
      </c>
      <c r="S40" s="38" t="s">
        <v>18</v>
      </c>
      <c r="T40" s="38" t="s">
        <v>19</v>
      </c>
      <c r="U40" s="38" t="s">
        <v>20</v>
      </c>
      <c r="V40" s="38" t="s">
        <v>21</v>
      </c>
      <c r="W40" s="38" t="s">
        <v>22</v>
      </c>
      <c r="X40" s="38" t="s">
        <v>23</v>
      </c>
      <c r="Y40" s="38" t="s">
        <v>24</v>
      </c>
      <c r="Z40" s="38" t="s">
        <v>25</v>
      </c>
    </row>
    <row r="41" ht="15.75" customHeight="1">
      <c r="A41" s="38" t="s">
        <v>30</v>
      </c>
      <c r="B41" s="38" t="s">
        <v>49</v>
      </c>
      <c r="D41" s="38">
        <v>3.0</v>
      </c>
      <c r="F41" s="38">
        <v>2.0</v>
      </c>
      <c r="G41" s="38">
        <v>3.0</v>
      </c>
    </row>
    <row r="42" ht="15.75" customHeight="1">
      <c r="A42" s="38" t="s">
        <v>30</v>
      </c>
      <c r="B42" s="38" t="s">
        <v>31</v>
      </c>
      <c r="D42" s="38">
        <v>2.0</v>
      </c>
      <c r="H42" s="38">
        <v>1.0</v>
      </c>
    </row>
    <row r="43" ht="15.75" customHeight="1">
      <c r="A43" s="38" t="s">
        <v>30</v>
      </c>
      <c r="B43" s="38" t="s">
        <v>66</v>
      </c>
      <c r="D43" s="38">
        <v>3.0</v>
      </c>
      <c r="I43" s="38">
        <v>3.0</v>
      </c>
      <c r="K43" s="38">
        <v>2.0</v>
      </c>
    </row>
    <row r="44" ht="15.75" customHeight="1">
      <c r="A44" s="38" t="s">
        <v>30</v>
      </c>
      <c r="B44" s="38" t="s">
        <v>67</v>
      </c>
      <c r="P44" s="38">
        <v>3.0</v>
      </c>
      <c r="Q44" s="38">
        <v>3.0</v>
      </c>
      <c r="V44" s="38">
        <v>2.0</v>
      </c>
    </row>
    <row r="45" ht="15.75" customHeight="1">
      <c r="A45" s="38" t="s">
        <v>30</v>
      </c>
      <c r="B45" s="38" t="s">
        <v>68</v>
      </c>
      <c r="O45" s="38">
        <v>2.0</v>
      </c>
      <c r="P45" s="38">
        <v>2.0</v>
      </c>
      <c r="Q45" s="38">
        <v>2.0</v>
      </c>
      <c r="X45" s="38">
        <v>2.0</v>
      </c>
    </row>
    <row r="46" ht="15.75" customHeight="1">
      <c r="A46" s="38" t="s">
        <v>30</v>
      </c>
      <c r="B46" s="38" t="s">
        <v>69</v>
      </c>
      <c r="K46" s="38">
        <v>2.0</v>
      </c>
      <c r="S46" s="38">
        <v>3.0</v>
      </c>
      <c r="U46" s="38">
        <v>3.0</v>
      </c>
    </row>
    <row r="47" ht="15.75" customHeight="1">
      <c r="A47" s="38" t="s">
        <v>30</v>
      </c>
      <c r="B47" s="38" t="s">
        <v>70</v>
      </c>
      <c r="K47" s="38">
        <v>2.0</v>
      </c>
      <c r="P47" s="38">
        <v>3.0</v>
      </c>
      <c r="R47" s="38">
        <v>3.0</v>
      </c>
    </row>
    <row r="48" ht="15.75" customHeight="1">
      <c r="A48" s="38" t="s">
        <v>30</v>
      </c>
      <c r="B48" s="38" t="s">
        <v>71</v>
      </c>
      <c r="K48" s="38">
        <v>2.0</v>
      </c>
      <c r="P48" s="38">
        <v>3.0</v>
      </c>
      <c r="R48" s="38">
        <v>3.0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>
      <c r="A60" s="37" t="s">
        <v>0</v>
      </c>
      <c r="B60" s="38" t="s">
        <v>1</v>
      </c>
      <c r="C60" s="38" t="s">
        <v>2</v>
      </c>
      <c r="D60" s="38" t="s">
        <v>3</v>
      </c>
      <c r="E60" s="38" t="s">
        <v>4</v>
      </c>
      <c r="F60" s="38" t="s">
        <v>5</v>
      </c>
      <c r="G60" s="38" t="s">
        <v>6</v>
      </c>
      <c r="H60" s="38" t="s">
        <v>7</v>
      </c>
      <c r="I60" s="38" t="s">
        <v>8</v>
      </c>
      <c r="J60" s="38" t="s">
        <v>9</v>
      </c>
      <c r="K60" s="38" t="s">
        <v>10</v>
      </c>
      <c r="L60" s="38" t="s">
        <v>11</v>
      </c>
      <c r="M60" s="38" t="s">
        <v>12</v>
      </c>
      <c r="N60" s="38" t="s">
        <v>13</v>
      </c>
      <c r="O60" s="38" t="s">
        <v>14</v>
      </c>
      <c r="P60" s="38" t="s">
        <v>15</v>
      </c>
      <c r="Q60" s="38" t="s">
        <v>16</v>
      </c>
      <c r="R60" s="38" t="s">
        <v>17</v>
      </c>
      <c r="S60" s="38" t="s">
        <v>18</v>
      </c>
      <c r="T60" s="38" t="s">
        <v>19</v>
      </c>
      <c r="U60" s="38" t="s">
        <v>20</v>
      </c>
      <c r="V60" s="38" t="s">
        <v>21</v>
      </c>
      <c r="W60" s="38" t="s">
        <v>22</v>
      </c>
      <c r="X60" s="38" t="s">
        <v>23</v>
      </c>
      <c r="Y60" s="38" t="s">
        <v>24</v>
      </c>
      <c r="Z60" s="38" t="s">
        <v>25</v>
      </c>
    </row>
    <row r="61" ht="15.75" customHeight="1">
      <c r="A61" s="38" t="s">
        <v>32</v>
      </c>
      <c r="B61" s="38" t="s">
        <v>33</v>
      </c>
      <c r="C61" s="38">
        <v>2.0</v>
      </c>
      <c r="E61" s="38">
        <v>2.0</v>
      </c>
      <c r="G61" s="38">
        <v>2.0</v>
      </c>
    </row>
    <row r="62" ht="15.75" customHeight="1">
      <c r="A62" s="38" t="s">
        <v>32</v>
      </c>
      <c r="B62" s="38" t="s">
        <v>72</v>
      </c>
      <c r="D62" s="38">
        <v>2.0</v>
      </c>
      <c r="E62" s="38">
        <v>2.0</v>
      </c>
    </row>
    <row r="63" ht="15.75" customHeight="1">
      <c r="A63" s="38" t="s">
        <v>32</v>
      </c>
      <c r="B63" s="38" t="s">
        <v>73</v>
      </c>
      <c r="E63" s="38">
        <v>2.0</v>
      </c>
      <c r="J63" s="38">
        <v>1.0</v>
      </c>
      <c r="L63" s="38">
        <v>2.0</v>
      </c>
    </row>
    <row r="64" ht="15.75" customHeight="1">
      <c r="A64" s="38" t="s">
        <v>32</v>
      </c>
      <c r="B64" s="38" t="s">
        <v>74</v>
      </c>
      <c r="P64" s="38">
        <v>2.0</v>
      </c>
      <c r="Q64" s="38">
        <v>2.0</v>
      </c>
      <c r="V64" s="38">
        <v>2.0</v>
      </c>
    </row>
    <row r="65" ht="15.75" customHeight="1">
      <c r="A65" s="38" t="s">
        <v>32</v>
      </c>
      <c r="B65" s="38" t="s">
        <v>75</v>
      </c>
      <c r="L65" s="38">
        <v>3.0</v>
      </c>
      <c r="P65" s="38">
        <v>2.0</v>
      </c>
      <c r="R65" s="38">
        <v>1.0</v>
      </c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>
      <c r="A80" s="37" t="s">
        <v>0</v>
      </c>
      <c r="B80" s="38" t="s">
        <v>1</v>
      </c>
      <c r="C80" s="38" t="s">
        <v>2</v>
      </c>
      <c r="D80" s="38" t="s">
        <v>3</v>
      </c>
      <c r="E80" s="38" t="s">
        <v>4</v>
      </c>
      <c r="F80" s="38" t="s">
        <v>5</v>
      </c>
      <c r="G80" s="38" t="s">
        <v>6</v>
      </c>
      <c r="H80" s="38" t="s">
        <v>7</v>
      </c>
      <c r="I80" s="38" t="s">
        <v>8</v>
      </c>
      <c r="J80" s="38" t="s">
        <v>9</v>
      </c>
      <c r="K80" s="38" t="s">
        <v>10</v>
      </c>
      <c r="L80" s="38" t="s">
        <v>11</v>
      </c>
      <c r="M80" s="38" t="s">
        <v>12</v>
      </c>
      <c r="N80" s="38" t="s">
        <v>13</v>
      </c>
      <c r="O80" s="38" t="s">
        <v>14</v>
      </c>
      <c r="P80" s="38" t="s">
        <v>15</v>
      </c>
      <c r="Q80" s="38" t="s">
        <v>16</v>
      </c>
      <c r="R80" s="38" t="s">
        <v>17</v>
      </c>
      <c r="S80" s="38" t="s">
        <v>18</v>
      </c>
      <c r="T80" s="38" t="s">
        <v>19</v>
      </c>
      <c r="U80" s="38" t="s">
        <v>20</v>
      </c>
      <c r="V80" s="38" t="s">
        <v>21</v>
      </c>
      <c r="W80" s="38" t="s">
        <v>22</v>
      </c>
      <c r="X80" s="38" t="s">
        <v>23</v>
      </c>
      <c r="Y80" s="38" t="s">
        <v>24</v>
      </c>
      <c r="Z80" s="38" t="s">
        <v>25</v>
      </c>
    </row>
    <row r="81" ht="15.75" customHeight="1">
      <c r="A81" s="38" t="s">
        <v>34</v>
      </c>
      <c r="B81" s="38" t="s">
        <v>35</v>
      </c>
      <c r="E81" s="38">
        <v>2.0</v>
      </c>
      <c r="F81" s="38">
        <v>3.0</v>
      </c>
      <c r="G81" s="38">
        <v>3.0</v>
      </c>
    </row>
    <row r="82" ht="15.75" customHeight="1">
      <c r="A82" s="38" t="s">
        <v>34</v>
      </c>
      <c r="B82" s="38" t="s">
        <v>76</v>
      </c>
      <c r="C82" s="38">
        <v>3.0</v>
      </c>
      <c r="E82" s="38">
        <v>1.0</v>
      </c>
      <c r="J82" s="38">
        <v>2.0</v>
      </c>
    </row>
    <row r="83" ht="15.75" customHeight="1">
      <c r="A83" s="38" t="s">
        <v>34</v>
      </c>
      <c r="B83" s="38" t="s">
        <v>77</v>
      </c>
      <c r="R83" s="38">
        <v>3.0</v>
      </c>
      <c r="V83" s="38">
        <v>2.0</v>
      </c>
      <c r="W83" s="38">
        <v>2.0</v>
      </c>
    </row>
    <row r="84" ht="15.75" customHeight="1">
      <c r="A84" s="38" t="s">
        <v>34</v>
      </c>
      <c r="B84" s="38" t="s">
        <v>78</v>
      </c>
      <c r="L84" s="38">
        <v>1.0</v>
      </c>
      <c r="N84" s="38">
        <v>2.0</v>
      </c>
      <c r="Y84" s="38">
        <v>1.0</v>
      </c>
    </row>
    <row r="85" ht="15.75" customHeight="1">
      <c r="A85" s="38" t="s">
        <v>34</v>
      </c>
      <c r="B85" s="38" t="s">
        <v>79</v>
      </c>
      <c r="E85" s="38">
        <v>2.0</v>
      </c>
      <c r="Y85" s="38">
        <v>2.0</v>
      </c>
    </row>
    <row r="86" ht="15.75" customHeight="1">
      <c r="A86" s="38" t="s">
        <v>34</v>
      </c>
      <c r="B86" s="38" t="s">
        <v>80</v>
      </c>
      <c r="L86" s="38">
        <v>1.0</v>
      </c>
      <c r="R86" s="38">
        <v>3.0</v>
      </c>
      <c r="T86" s="38">
        <v>3.0</v>
      </c>
    </row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>
      <c r="A100" s="37" t="s">
        <v>0</v>
      </c>
      <c r="B100" s="38" t="s">
        <v>1</v>
      </c>
      <c r="C100" s="38" t="s">
        <v>2</v>
      </c>
      <c r="D100" s="38" t="s">
        <v>3</v>
      </c>
      <c r="E100" s="38" t="s">
        <v>4</v>
      </c>
      <c r="F100" s="38" t="s">
        <v>5</v>
      </c>
      <c r="G100" s="38" t="s">
        <v>6</v>
      </c>
      <c r="H100" s="38" t="s">
        <v>7</v>
      </c>
      <c r="I100" s="38" t="s">
        <v>8</v>
      </c>
      <c r="J100" s="38" t="s">
        <v>9</v>
      </c>
      <c r="K100" s="38" t="s">
        <v>10</v>
      </c>
      <c r="L100" s="38" t="s">
        <v>11</v>
      </c>
      <c r="M100" s="38" t="s">
        <v>12</v>
      </c>
      <c r="N100" s="38" t="s">
        <v>13</v>
      </c>
      <c r="O100" s="38" t="s">
        <v>14</v>
      </c>
      <c r="P100" s="38" t="s">
        <v>15</v>
      </c>
      <c r="Q100" s="38" t="s">
        <v>16</v>
      </c>
      <c r="R100" s="38" t="s">
        <v>17</v>
      </c>
      <c r="S100" s="38" t="s">
        <v>18</v>
      </c>
      <c r="T100" s="38" t="s">
        <v>19</v>
      </c>
      <c r="U100" s="38" t="s">
        <v>20</v>
      </c>
      <c r="V100" s="38" t="s">
        <v>21</v>
      </c>
      <c r="W100" s="38" t="s">
        <v>22</v>
      </c>
      <c r="X100" s="38" t="s">
        <v>23</v>
      </c>
      <c r="Y100" s="38" t="s">
        <v>24</v>
      </c>
      <c r="Z100" s="38" t="s">
        <v>25</v>
      </c>
    </row>
    <row r="101" ht="15.75" customHeight="1">
      <c r="A101" s="38" t="s">
        <v>36</v>
      </c>
      <c r="B101" s="38" t="s">
        <v>37</v>
      </c>
      <c r="C101" s="38">
        <v>3.0</v>
      </c>
      <c r="F101" s="38">
        <v>3.0</v>
      </c>
      <c r="J101" s="38">
        <v>2.0</v>
      </c>
    </row>
    <row r="102" ht="15.75" customHeight="1">
      <c r="A102" s="38" t="s">
        <v>36</v>
      </c>
      <c r="B102" s="38" t="s">
        <v>81</v>
      </c>
      <c r="C102" s="38">
        <v>2.0</v>
      </c>
      <c r="G102" s="38">
        <v>3.0</v>
      </c>
      <c r="L102" s="38">
        <v>2.0</v>
      </c>
    </row>
    <row r="103" ht="15.75" customHeight="1">
      <c r="A103" s="38" t="s">
        <v>36</v>
      </c>
      <c r="B103" s="38" t="s">
        <v>82</v>
      </c>
      <c r="C103" s="38">
        <v>3.0</v>
      </c>
      <c r="G103" s="38">
        <v>3.0</v>
      </c>
      <c r="L103" s="38">
        <v>2.0</v>
      </c>
    </row>
    <row r="104" ht="15.75" customHeight="1">
      <c r="A104" s="38" t="s">
        <v>36</v>
      </c>
      <c r="B104" s="38" t="s">
        <v>83</v>
      </c>
      <c r="E104" s="38">
        <v>3.0</v>
      </c>
      <c r="I104" s="38">
        <v>3.0</v>
      </c>
    </row>
    <row r="105" ht="15.75" customHeight="1">
      <c r="A105" s="38" t="s">
        <v>36</v>
      </c>
      <c r="B105" s="38" t="s">
        <v>84</v>
      </c>
      <c r="C105" s="38">
        <v>3.0</v>
      </c>
      <c r="G105" s="38">
        <v>2.0</v>
      </c>
      <c r="J105" s="38">
        <v>1.0</v>
      </c>
    </row>
    <row r="106" ht="15.75" customHeight="1">
      <c r="A106" s="38" t="s">
        <v>36</v>
      </c>
      <c r="B106" s="38" t="s">
        <v>85</v>
      </c>
      <c r="T106" s="38">
        <v>3.0</v>
      </c>
      <c r="U106" s="38">
        <v>3.0</v>
      </c>
      <c r="W106" s="38">
        <v>2.0</v>
      </c>
    </row>
    <row r="107" ht="15.75" customHeight="1">
      <c r="A107" s="38" t="s">
        <v>36</v>
      </c>
      <c r="B107" s="38" t="s">
        <v>86</v>
      </c>
      <c r="L107" s="38">
        <v>2.0</v>
      </c>
      <c r="P107" s="38">
        <v>3.0</v>
      </c>
      <c r="Q107" s="38">
        <v>3.0</v>
      </c>
    </row>
    <row r="108" ht="15.75" customHeight="1">
      <c r="A108" s="38" t="s">
        <v>36</v>
      </c>
      <c r="B108" s="38" t="s">
        <v>87</v>
      </c>
      <c r="N108" s="38">
        <v>3.0</v>
      </c>
      <c r="Q108" s="38">
        <v>3.0</v>
      </c>
      <c r="R108" s="38">
        <v>2.0</v>
      </c>
    </row>
    <row r="109" ht="15.75" customHeight="1">
      <c r="A109" s="38" t="s">
        <v>36</v>
      </c>
      <c r="B109" s="38" t="s">
        <v>88</v>
      </c>
      <c r="N109" s="38">
        <v>1.0</v>
      </c>
      <c r="Q109" s="38">
        <v>3.0</v>
      </c>
      <c r="R109" s="38">
        <v>2.0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>
      <c r="A120" s="37" t="s">
        <v>0</v>
      </c>
      <c r="B120" s="38" t="s">
        <v>1</v>
      </c>
      <c r="C120" s="38" t="s">
        <v>2</v>
      </c>
      <c r="D120" s="38" t="s">
        <v>3</v>
      </c>
      <c r="E120" s="38" t="s">
        <v>4</v>
      </c>
      <c r="F120" s="38" t="s">
        <v>5</v>
      </c>
      <c r="G120" s="38" t="s">
        <v>6</v>
      </c>
      <c r="H120" s="38" t="s">
        <v>7</v>
      </c>
      <c r="I120" s="38" t="s">
        <v>8</v>
      </c>
      <c r="J120" s="38" t="s">
        <v>9</v>
      </c>
      <c r="K120" s="38" t="s">
        <v>10</v>
      </c>
      <c r="L120" s="38" t="s">
        <v>11</v>
      </c>
      <c r="M120" s="38" t="s">
        <v>12</v>
      </c>
      <c r="N120" s="38" t="s">
        <v>13</v>
      </c>
      <c r="O120" s="38" t="s">
        <v>14</v>
      </c>
      <c r="P120" s="38" t="s">
        <v>15</v>
      </c>
      <c r="Q120" s="38" t="s">
        <v>16</v>
      </c>
      <c r="R120" s="38" t="s">
        <v>17</v>
      </c>
      <c r="S120" s="38" t="s">
        <v>18</v>
      </c>
      <c r="T120" s="38" t="s">
        <v>19</v>
      </c>
      <c r="U120" s="38" t="s">
        <v>20</v>
      </c>
      <c r="V120" s="38" t="s">
        <v>21</v>
      </c>
      <c r="W120" s="38" t="s">
        <v>22</v>
      </c>
      <c r="X120" s="38" t="s">
        <v>23</v>
      </c>
      <c r="Y120" s="38" t="s">
        <v>24</v>
      </c>
      <c r="Z120" s="38" t="s">
        <v>25</v>
      </c>
    </row>
    <row r="121" ht="15.75" customHeight="1">
      <c r="A121" s="38" t="s">
        <v>38</v>
      </c>
      <c r="B121" s="38" t="s">
        <v>50</v>
      </c>
      <c r="D121" s="38">
        <v>1.0</v>
      </c>
      <c r="E121" s="38">
        <v>2.0</v>
      </c>
      <c r="H121" s="38">
        <v>3.0</v>
      </c>
    </row>
    <row r="122" ht="15.75" customHeight="1">
      <c r="A122" s="38" t="s">
        <v>38</v>
      </c>
      <c r="B122" s="38" t="s">
        <v>39</v>
      </c>
      <c r="D122" s="38">
        <v>2.0</v>
      </c>
      <c r="E122" s="38">
        <v>2.0</v>
      </c>
      <c r="H122" s="38">
        <v>3.0</v>
      </c>
    </row>
    <row r="123" ht="15.75" customHeight="1">
      <c r="A123" s="38" t="s">
        <v>38</v>
      </c>
      <c r="B123" s="38" t="s">
        <v>89</v>
      </c>
      <c r="D123" s="38">
        <v>2.0</v>
      </c>
      <c r="E123" s="38">
        <v>2.0</v>
      </c>
    </row>
    <row r="124" ht="15.75" customHeight="1">
      <c r="A124" s="38" t="s">
        <v>38</v>
      </c>
      <c r="B124" s="38" t="s">
        <v>90</v>
      </c>
      <c r="C124" s="38">
        <v>2.0</v>
      </c>
      <c r="D124" s="38">
        <v>2.0</v>
      </c>
      <c r="E124" s="38">
        <v>2.0</v>
      </c>
    </row>
    <row r="125" ht="15.75" customHeight="1">
      <c r="A125" s="38" t="s">
        <v>38</v>
      </c>
      <c r="B125" s="38" t="s">
        <v>91</v>
      </c>
      <c r="M125" s="38">
        <v>1.0</v>
      </c>
      <c r="P125" s="38">
        <v>3.0</v>
      </c>
      <c r="V125" s="38">
        <v>2.0</v>
      </c>
    </row>
    <row r="126" ht="15.75" customHeight="1">
      <c r="A126" s="38" t="s">
        <v>38</v>
      </c>
      <c r="B126" s="38" t="s">
        <v>92</v>
      </c>
      <c r="K126" s="38">
        <v>1.0</v>
      </c>
      <c r="S126" s="38">
        <v>2.0</v>
      </c>
      <c r="T126" s="38">
        <v>3.0</v>
      </c>
    </row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>
      <c r="A140" s="37" t="s">
        <v>0</v>
      </c>
      <c r="B140" s="38" t="s">
        <v>1</v>
      </c>
      <c r="C140" s="38" t="s">
        <v>2</v>
      </c>
      <c r="D140" s="38" t="s">
        <v>3</v>
      </c>
      <c r="E140" s="38" t="s">
        <v>4</v>
      </c>
      <c r="F140" s="38" t="s">
        <v>5</v>
      </c>
      <c r="G140" s="38" t="s">
        <v>6</v>
      </c>
      <c r="H140" s="38" t="s">
        <v>7</v>
      </c>
      <c r="I140" s="38" t="s">
        <v>8</v>
      </c>
      <c r="J140" s="38" t="s">
        <v>9</v>
      </c>
      <c r="K140" s="38" t="s">
        <v>10</v>
      </c>
      <c r="L140" s="38" t="s">
        <v>11</v>
      </c>
      <c r="M140" s="38" t="s">
        <v>12</v>
      </c>
      <c r="N140" s="38" t="s">
        <v>13</v>
      </c>
      <c r="O140" s="38" t="s">
        <v>14</v>
      </c>
      <c r="P140" s="38" t="s">
        <v>15</v>
      </c>
      <c r="Q140" s="38" t="s">
        <v>16</v>
      </c>
      <c r="R140" s="38" t="s">
        <v>17</v>
      </c>
      <c r="S140" s="38" t="s">
        <v>18</v>
      </c>
      <c r="T140" s="38" t="s">
        <v>19</v>
      </c>
      <c r="U140" s="38" t="s">
        <v>20</v>
      </c>
      <c r="V140" s="38" t="s">
        <v>21</v>
      </c>
      <c r="W140" s="38" t="s">
        <v>22</v>
      </c>
      <c r="X140" s="38" t="s">
        <v>23</v>
      </c>
      <c r="Y140" s="38" t="s">
        <v>24</v>
      </c>
      <c r="Z140" s="38" t="s">
        <v>25</v>
      </c>
    </row>
    <row r="141" ht="15.75" customHeight="1">
      <c r="A141" s="38" t="s">
        <v>40</v>
      </c>
      <c r="B141" s="38" t="s">
        <v>51</v>
      </c>
      <c r="E141" s="38">
        <v>2.0</v>
      </c>
      <c r="H141" s="38">
        <v>2.0</v>
      </c>
      <c r="I141" s="38">
        <v>1.0</v>
      </c>
    </row>
    <row r="142" ht="15.75" customHeight="1">
      <c r="A142" s="38" t="s">
        <v>40</v>
      </c>
      <c r="B142" s="38" t="s">
        <v>41</v>
      </c>
      <c r="E142" s="38">
        <v>2.0</v>
      </c>
      <c r="H142" s="38">
        <v>2.0</v>
      </c>
      <c r="I142" s="38">
        <v>2.0</v>
      </c>
    </row>
    <row r="143" ht="15.75" customHeight="1">
      <c r="A143" s="38" t="s">
        <v>40</v>
      </c>
      <c r="B143" s="38" t="s">
        <v>93</v>
      </c>
      <c r="H143" s="38">
        <v>2.0</v>
      </c>
      <c r="I143" s="38">
        <v>2.0</v>
      </c>
    </row>
    <row r="144" ht="15.75" customHeight="1">
      <c r="A144" s="38" t="s">
        <v>40</v>
      </c>
      <c r="B144" s="38" t="s">
        <v>94</v>
      </c>
      <c r="H144" s="38">
        <v>2.0</v>
      </c>
      <c r="I144" s="38">
        <v>2.0</v>
      </c>
      <c r="L144" s="38">
        <v>1.0</v>
      </c>
    </row>
    <row r="145" ht="15.75" customHeight="1">
      <c r="A145" s="38" t="s">
        <v>40</v>
      </c>
      <c r="B145" s="38" t="s">
        <v>95</v>
      </c>
      <c r="K145" s="38">
        <v>1.0</v>
      </c>
      <c r="S145" s="38">
        <v>2.0</v>
      </c>
      <c r="X145" s="38">
        <v>3.0</v>
      </c>
    </row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>
      <c r="A160" s="38" t="s">
        <v>0</v>
      </c>
      <c r="B160" s="38" t="s">
        <v>96</v>
      </c>
      <c r="C160" s="38" t="s">
        <v>2</v>
      </c>
      <c r="D160" s="38" t="s">
        <v>3</v>
      </c>
      <c r="E160" s="38" t="s">
        <v>4</v>
      </c>
      <c r="F160" s="38" t="s">
        <v>5</v>
      </c>
      <c r="G160" s="38" t="s">
        <v>6</v>
      </c>
      <c r="H160" s="38" t="s">
        <v>7</v>
      </c>
      <c r="I160" s="38" t="s">
        <v>8</v>
      </c>
      <c r="J160" s="38" t="s">
        <v>9</v>
      </c>
      <c r="K160" s="38" t="s">
        <v>10</v>
      </c>
      <c r="L160" s="38" t="s">
        <v>11</v>
      </c>
      <c r="M160" s="38" t="s">
        <v>12</v>
      </c>
      <c r="N160" s="38" t="s">
        <v>13</v>
      </c>
      <c r="O160" s="38" t="s">
        <v>14</v>
      </c>
      <c r="P160" s="38" t="s">
        <v>15</v>
      </c>
      <c r="Q160" s="38" t="s">
        <v>16</v>
      </c>
      <c r="R160" s="38" t="s">
        <v>17</v>
      </c>
      <c r="S160" s="38" t="s">
        <v>18</v>
      </c>
      <c r="T160" s="38" t="s">
        <v>19</v>
      </c>
      <c r="U160" s="38" t="s">
        <v>20</v>
      </c>
      <c r="V160" s="38" t="s">
        <v>21</v>
      </c>
      <c r="W160" s="38" t="s">
        <v>22</v>
      </c>
      <c r="X160" s="38" t="s">
        <v>23</v>
      </c>
      <c r="Y160" s="38" t="s">
        <v>24</v>
      </c>
      <c r="Z160" s="38" t="s">
        <v>25</v>
      </c>
    </row>
    <row r="161" ht="15.75" customHeight="1">
      <c r="A161" s="38" t="s">
        <v>42</v>
      </c>
      <c r="B161" s="38" t="s">
        <v>97</v>
      </c>
      <c r="D161" s="38">
        <v>1.0</v>
      </c>
      <c r="F161" s="38">
        <v>1.0</v>
      </c>
    </row>
    <row r="162" ht="15.75" customHeight="1">
      <c r="A162" s="38" t="s">
        <v>42</v>
      </c>
      <c r="B162" s="38" t="s">
        <v>98</v>
      </c>
      <c r="H162" s="38">
        <v>1.0</v>
      </c>
      <c r="I162" s="38">
        <v>1.0</v>
      </c>
    </row>
    <row r="163" ht="15.75" customHeight="1">
      <c r="A163" s="38" t="s">
        <v>42</v>
      </c>
      <c r="B163" s="38" t="s">
        <v>99</v>
      </c>
      <c r="K163" s="38">
        <v>1.0</v>
      </c>
      <c r="Q163" s="38">
        <v>1.0</v>
      </c>
    </row>
    <row r="164" ht="15.75" customHeight="1">
      <c r="A164" s="38" t="s">
        <v>42</v>
      </c>
      <c r="B164" s="38" t="s">
        <v>100</v>
      </c>
      <c r="P164" s="38">
        <v>1.0</v>
      </c>
      <c r="R164" s="38">
        <v>1.0</v>
      </c>
    </row>
    <row r="165" ht="15.75" customHeight="1">
      <c r="A165" s="38" t="s">
        <v>42</v>
      </c>
      <c r="B165" s="38" t="s">
        <v>101</v>
      </c>
      <c r="U165" s="38">
        <v>1.0</v>
      </c>
      <c r="V165" s="38">
        <v>1.0</v>
      </c>
    </row>
    <row r="166" ht="15.75" customHeight="1">
      <c r="A166" s="38" t="s">
        <v>42</v>
      </c>
      <c r="B166" s="38" t="s">
        <v>102</v>
      </c>
      <c r="Y166" s="38">
        <v>1.0</v>
      </c>
    </row>
    <row r="167" ht="15.75" customHeight="1">
      <c r="A167" s="38" t="s">
        <v>42</v>
      </c>
      <c r="B167" s="38" t="s">
        <v>43</v>
      </c>
      <c r="D167" s="38">
        <v>1.0</v>
      </c>
      <c r="F167" s="38">
        <v>1.0</v>
      </c>
      <c r="P167" s="38">
        <v>1.0</v>
      </c>
      <c r="R167" s="38">
        <v>1.0</v>
      </c>
    </row>
    <row r="168" ht="15.75" customHeight="1">
      <c r="A168" s="38" t="s">
        <v>42</v>
      </c>
      <c r="B168" s="38" t="s">
        <v>103</v>
      </c>
      <c r="K168" s="38">
        <v>1.0</v>
      </c>
      <c r="P168" s="38">
        <v>1.0</v>
      </c>
      <c r="Q168" s="38">
        <v>1.0</v>
      </c>
      <c r="R168" s="38">
        <v>1.0</v>
      </c>
    </row>
    <row r="169" ht="15.75" customHeight="1">
      <c r="A169" s="38" t="s">
        <v>42</v>
      </c>
      <c r="B169" s="38" t="s">
        <v>104</v>
      </c>
      <c r="H169" s="38">
        <v>1.0</v>
      </c>
      <c r="I169" s="38">
        <v>1.0</v>
      </c>
      <c r="P169" s="38">
        <v>1.0</v>
      </c>
      <c r="R169" s="38">
        <v>1.0</v>
      </c>
    </row>
    <row r="170" ht="15.75" customHeight="1">
      <c r="A170" s="38" t="s">
        <v>42</v>
      </c>
      <c r="B170" s="38" t="s">
        <v>105</v>
      </c>
      <c r="K170" s="38">
        <v>1.0</v>
      </c>
      <c r="Q170" s="38">
        <v>1.0</v>
      </c>
      <c r="U170" s="38">
        <v>1.0</v>
      </c>
      <c r="V170" s="38">
        <v>1.0</v>
      </c>
    </row>
    <row r="171" ht="15.75" customHeight="1"/>
    <row r="172" ht="15.75" customHeight="1">
      <c r="A172" s="38" t="s">
        <v>0</v>
      </c>
      <c r="C172" s="38" t="s">
        <v>2</v>
      </c>
      <c r="D172" s="38" t="s">
        <v>3</v>
      </c>
      <c r="E172" s="38" t="s">
        <v>4</v>
      </c>
      <c r="F172" s="38" t="s">
        <v>5</v>
      </c>
      <c r="G172" s="38" t="s">
        <v>6</v>
      </c>
      <c r="H172" s="38" t="s">
        <v>7</v>
      </c>
      <c r="I172" s="38" t="s">
        <v>8</v>
      </c>
      <c r="J172" s="38" t="s">
        <v>9</v>
      </c>
      <c r="K172" s="38" t="s">
        <v>10</v>
      </c>
      <c r="L172" s="38" t="s">
        <v>11</v>
      </c>
      <c r="M172" s="38" t="s">
        <v>12</v>
      </c>
      <c r="N172" s="38" t="s">
        <v>13</v>
      </c>
      <c r="O172" s="38" t="s">
        <v>14</v>
      </c>
      <c r="P172" s="38" t="s">
        <v>15</v>
      </c>
      <c r="Q172" s="38" t="s">
        <v>16</v>
      </c>
      <c r="R172" s="38" t="s">
        <v>17</v>
      </c>
      <c r="S172" s="38" t="s">
        <v>18</v>
      </c>
      <c r="T172" s="38" t="s">
        <v>19</v>
      </c>
      <c r="U172" s="38" t="s">
        <v>20</v>
      </c>
      <c r="V172" s="38" t="s">
        <v>21</v>
      </c>
      <c r="W172" s="38" t="s">
        <v>22</v>
      </c>
      <c r="X172" s="38" t="s">
        <v>23</v>
      </c>
      <c r="Y172" s="38" t="s">
        <v>24</v>
      </c>
      <c r="Z172" s="38" t="s">
        <v>25</v>
      </c>
    </row>
    <row r="173" ht="15.75" customHeight="1">
      <c r="A173" s="38" t="s">
        <v>44</v>
      </c>
      <c r="B173" s="38" t="s">
        <v>97</v>
      </c>
      <c r="C173" s="38">
        <v>15.0</v>
      </c>
      <c r="D173" s="38">
        <v>15.0</v>
      </c>
      <c r="E173" s="38">
        <v>15.0</v>
      </c>
      <c r="F173" s="38">
        <v>15.0</v>
      </c>
      <c r="G173" s="38">
        <v>15.0</v>
      </c>
      <c r="H173" s="38">
        <v>10.0</v>
      </c>
      <c r="I173" s="38">
        <v>10.0</v>
      </c>
      <c r="J173" s="38">
        <v>15.0</v>
      </c>
      <c r="K173" s="38">
        <v>10.0</v>
      </c>
      <c r="L173" s="38">
        <v>10.0</v>
      </c>
      <c r="M173" s="38">
        <v>10.0</v>
      </c>
      <c r="N173" s="38">
        <v>10.0</v>
      </c>
      <c r="O173" s="38">
        <v>10.0</v>
      </c>
      <c r="P173" s="38">
        <v>10.0</v>
      </c>
      <c r="Q173" s="38">
        <v>10.0</v>
      </c>
      <c r="R173" s="38">
        <v>15.0</v>
      </c>
      <c r="S173" s="38">
        <v>10.0</v>
      </c>
      <c r="T173" s="38">
        <v>10.0</v>
      </c>
      <c r="U173" s="38">
        <v>10.0</v>
      </c>
      <c r="V173" s="38">
        <v>10.0</v>
      </c>
      <c r="W173" s="38">
        <v>10.0</v>
      </c>
      <c r="X173" s="38">
        <v>10.0</v>
      </c>
      <c r="Y173" s="38">
        <v>10.0</v>
      </c>
      <c r="Z173" s="38">
        <v>10.0</v>
      </c>
    </row>
    <row r="174" ht="15.75" customHeight="1">
      <c r="B174" s="38" t="s">
        <v>98</v>
      </c>
      <c r="C174" s="38">
        <v>15.0</v>
      </c>
      <c r="D174" s="38">
        <v>10.0</v>
      </c>
      <c r="E174" s="38">
        <v>10.0</v>
      </c>
      <c r="F174" s="38">
        <v>10.0</v>
      </c>
      <c r="G174" s="38">
        <v>15.0</v>
      </c>
      <c r="H174" s="38">
        <v>15.0</v>
      </c>
      <c r="I174" s="38">
        <v>15.0</v>
      </c>
      <c r="J174" s="38">
        <v>10.0</v>
      </c>
      <c r="K174" s="38">
        <v>10.0</v>
      </c>
      <c r="L174" s="38">
        <v>15.0</v>
      </c>
      <c r="M174" s="38">
        <v>10.0</v>
      </c>
      <c r="N174" s="38">
        <v>10.0</v>
      </c>
      <c r="O174" s="38">
        <v>10.0</v>
      </c>
      <c r="P174" s="38">
        <v>10.0</v>
      </c>
      <c r="Q174" s="38">
        <v>10.0</v>
      </c>
      <c r="R174" s="38">
        <v>10.0</v>
      </c>
      <c r="S174" s="38">
        <v>15.0</v>
      </c>
      <c r="T174" s="38">
        <v>10.0</v>
      </c>
      <c r="U174" s="38">
        <v>10.0</v>
      </c>
      <c r="V174" s="38">
        <v>10.0</v>
      </c>
      <c r="W174" s="38">
        <v>10.0</v>
      </c>
      <c r="X174" s="38">
        <v>15.0</v>
      </c>
      <c r="Y174" s="38">
        <v>10.0</v>
      </c>
      <c r="Z174" s="38">
        <v>10.0</v>
      </c>
    </row>
    <row r="175" ht="15.75" customHeight="1">
      <c r="B175" s="38" t="s">
        <v>99</v>
      </c>
      <c r="C175" s="38">
        <v>10.0</v>
      </c>
      <c r="D175" s="38">
        <v>15.0</v>
      </c>
      <c r="E175" s="38">
        <v>10.0</v>
      </c>
      <c r="F175" s="38">
        <v>10.0</v>
      </c>
      <c r="G175" s="38">
        <v>10.0</v>
      </c>
      <c r="H175" s="38">
        <v>10.0</v>
      </c>
      <c r="I175" s="38">
        <v>10.0</v>
      </c>
      <c r="J175" s="38">
        <v>10.0</v>
      </c>
      <c r="K175" s="38">
        <v>15.0</v>
      </c>
      <c r="L175" s="38">
        <v>15.0</v>
      </c>
      <c r="M175" s="38">
        <v>10.0</v>
      </c>
      <c r="N175" s="38">
        <v>10.0</v>
      </c>
      <c r="O175" s="38">
        <v>15.0</v>
      </c>
      <c r="P175" s="38">
        <v>15.0</v>
      </c>
      <c r="Q175" s="38">
        <v>15.0</v>
      </c>
      <c r="R175" s="38">
        <v>10.0</v>
      </c>
      <c r="S175" s="38">
        <v>10.0</v>
      </c>
      <c r="T175" s="38">
        <v>10.0</v>
      </c>
      <c r="U175" s="38">
        <v>10.0</v>
      </c>
      <c r="V175" s="38">
        <v>10.0</v>
      </c>
      <c r="W175" s="38">
        <v>10.0</v>
      </c>
      <c r="X175" s="38">
        <v>15.0</v>
      </c>
      <c r="Y175" s="38">
        <v>15.0</v>
      </c>
      <c r="Z175" s="38">
        <v>10.0</v>
      </c>
    </row>
    <row r="176" ht="15.75" customHeight="1">
      <c r="B176" s="38" t="s">
        <v>100</v>
      </c>
      <c r="C176" s="38">
        <v>10.0</v>
      </c>
      <c r="D176" s="38">
        <v>10.0</v>
      </c>
      <c r="E176" s="38">
        <v>10.0</v>
      </c>
      <c r="F176" s="38">
        <v>10.0</v>
      </c>
      <c r="G176" s="38">
        <v>10.0</v>
      </c>
      <c r="H176" s="38">
        <v>10.0</v>
      </c>
      <c r="I176" s="38">
        <v>10.0</v>
      </c>
      <c r="J176" s="38">
        <v>10.0</v>
      </c>
      <c r="K176" s="38">
        <v>10.0</v>
      </c>
      <c r="L176" s="38">
        <v>10.0</v>
      </c>
      <c r="M176" s="38">
        <v>15.0</v>
      </c>
      <c r="N176" s="38">
        <v>15.0</v>
      </c>
      <c r="O176" s="38">
        <v>10.0</v>
      </c>
      <c r="P176" s="38">
        <v>15.0</v>
      </c>
      <c r="Q176" s="38">
        <v>15.0</v>
      </c>
      <c r="R176" s="38">
        <v>15.0</v>
      </c>
      <c r="S176" s="38">
        <v>15.0</v>
      </c>
      <c r="T176" s="38">
        <v>15.0</v>
      </c>
      <c r="U176" s="38">
        <v>10.0</v>
      </c>
      <c r="V176" s="38">
        <v>10.0</v>
      </c>
      <c r="W176" s="38">
        <v>10.0</v>
      </c>
      <c r="X176" s="38">
        <v>10.0</v>
      </c>
      <c r="Y176" s="38">
        <v>10.0</v>
      </c>
      <c r="Z176" s="38">
        <v>10.0</v>
      </c>
    </row>
    <row r="177" ht="15.75" customHeight="1">
      <c r="B177" s="38" t="s">
        <v>101</v>
      </c>
      <c r="C177" s="38">
        <v>10.0</v>
      </c>
      <c r="D177" s="38">
        <v>10.0</v>
      </c>
      <c r="E177" s="38">
        <v>10.0</v>
      </c>
      <c r="F177" s="38">
        <v>10.0</v>
      </c>
      <c r="G177" s="38">
        <v>10.0</v>
      </c>
      <c r="H177" s="38">
        <v>10.0</v>
      </c>
      <c r="I177" s="38">
        <v>10.0</v>
      </c>
      <c r="J177" s="38">
        <v>10.0</v>
      </c>
      <c r="K177" s="38">
        <v>10.0</v>
      </c>
      <c r="L177" s="38">
        <v>10.0</v>
      </c>
      <c r="M177" s="38">
        <v>15.0</v>
      </c>
      <c r="N177" s="38">
        <v>10.0</v>
      </c>
      <c r="O177" s="38">
        <v>10.0</v>
      </c>
      <c r="P177" s="38">
        <v>15.0</v>
      </c>
      <c r="Q177" s="38">
        <v>15.0</v>
      </c>
      <c r="R177" s="38">
        <v>15.0</v>
      </c>
      <c r="S177" s="38">
        <v>15.0</v>
      </c>
      <c r="T177" s="38">
        <v>15.0</v>
      </c>
      <c r="U177" s="38">
        <v>15.0</v>
      </c>
      <c r="V177" s="38">
        <v>15.0</v>
      </c>
      <c r="W177" s="38">
        <v>15.0</v>
      </c>
      <c r="X177" s="38">
        <v>10.0</v>
      </c>
      <c r="Y177" s="38">
        <v>10.0</v>
      </c>
      <c r="Z177" s="38">
        <v>10.0</v>
      </c>
    </row>
    <row r="178" ht="15.75" customHeight="1">
      <c r="B178" s="38" t="s">
        <v>102</v>
      </c>
      <c r="C178" s="38">
        <v>10.0</v>
      </c>
      <c r="D178" s="38">
        <v>10.0</v>
      </c>
      <c r="E178" s="38">
        <v>10.0</v>
      </c>
      <c r="F178" s="38">
        <v>10.0</v>
      </c>
      <c r="G178" s="38">
        <v>10.0</v>
      </c>
      <c r="H178" s="38">
        <v>10.0</v>
      </c>
      <c r="I178" s="38">
        <v>10.0</v>
      </c>
      <c r="J178" s="38">
        <v>10.0</v>
      </c>
      <c r="K178" s="38">
        <v>10.0</v>
      </c>
      <c r="L178" s="38">
        <v>10.0</v>
      </c>
      <c r="M178" s="38">
        <v>10.0</v>
      </c>
      <c r="N178" s="38">
        <v>10.0</v>
      </c>
      <c r="O178" s="38">
        <v>10.0</v>
      </c>
      <c r="P178" s="38">
        <v>10.0</v>
      </c>
      <c r="Q178" s="38">
        <v>10.0</v>
      </c>
      <c r="R178" s="38">
        <v>10.0</v>
      </c>
      <c r="S178" s="38">
        <v>10.0</v>
      </c>
      <c r="T178" s="38">
        <v>10.0</v>
      </c>
      <c r="U178" s="38">
        <v>10.0</v>
      </c>
      <c r="V178" s="38">
        <v>10.0</v>
      </c>
      <c r="W178" s="38">
        <v>10.0</v>
      </c>
      <c r="X178" s="38">
        <v>10.0</v>
      </c>
      <c r="Y178" s="38">
        <v>15.0</v>
      </c>
      <c r="Z178" s="38">
        <v>10.0</v>
      </c>
    </row>
    <row r="179" ht="15.75" customHeight="1">
      <c r="B179" s="38" t="s">
        <v>43</v>
      </c>
      <c r="C179" s="38">
        <v>15.0</v>
      </c>
      <c r="D179" s="38">
        <v>15.0</v>
      </c>
      <c r="E179" s="38">
        <v>15.0</v>
      </c>
      <c r="F179" s="38">
        <v>15.0</v>
      </c>
      <c r="G179" s="38">
        <v>15.0</v>
      </c>
      <c r="H179" s="38">
        <v>10.0</v>
      </c>
      <c r="I179" s="38">
        <v>10.0</v>
      </c>
      <c r="J179" s="38">
        <v>15.0</v>
      </c>
      <c r="K179" s="38">
        <v>10.0</v>
      </c>
      <c r="L179" s="38">
        <v>10.0</v>
      </c>
      <c r="M179" s="38">
        <v>15.0</v>
      </c>
      <c r="N179" s="38">
        <v>15.0</v>
      </c>
      <c r="O179" s="38">
        <v>10.0</v>
      </c>
      <c r="P179" s="38">
        <v>15.0</v>
      </c>
      <c r="Q179" s="38">
        <v>15.0</v>
      </c>
      <c r="R179" s="38">
        <v>15.0</v>
      </c>
      <c r="S179" s="38">
        <v>15.0</v>
      </c>
      <c r="T179" s="38">
        <v>15.0</v>
      </c>
      <c r="U179" s="38">
        <v>10.0</v>
      </c>
      <c r="V179" s="38">
        <v>10.0</v>
      </c>
      <c r="W179" s="38">
        <v>10.0</v>
      </c>
      <c r="X179" s="38">
        <v>10.0</v>
      </c>
      <c r="Y179" s="38">
        <v>10.0</v>
      </c>
      <c r="Z179" s="38">
        <v>10.0</v>
      </c>
    </row>
    <row r="180" ht="15.75" customHeight="1">
      <c r="B180" s="38" t="s">
        <v>103</v>
      </c>
      <c r="C180" s="38">
        <v>10.0</v>
      </c>
      <c r="D180" s="38">
        <v>15.0</v>
      </c>
      <c r="E180" s="38">
        <v>10.0</v>
      </c>
      <c r="F180" s="38">
        <v>10.0</v>
      </c>
      <c r="G180" s="38">
        <v>10.0</v>
      </c>
      <c r="H180" s="38">
        <v>10.0</v>
      </c>
      <c r="I180" s="38">
        <v>10.0</v>
      </c>
      <c r="J180" s="38">
        <v>10.0</v>
      </c>
      <c r="K180" s="38">
        <v>15.0</v>
      </c>
      <c r="L180" s="38">
        <v>15.0</v>
      </c>
      <c r="M180" s="38">
        <v>15.0</v>
      </c>
      <c r="N180" s="38">
        <v>15.0</v>
      </c>
      <c r="O180" s="38">
        <v>15.0</v>
      </c>
      <c r="P180" s="38">
        <v>15.0</v>
      </c>
      <c r="Q180" s="38">
        <v>15.0</v>
      </c>
      <c r="R180" s="38">
        <v>15.0</v>
      </c>
      <c r="S180" s="38">
        <v>15.0</v>
      </c>
      <c r="T180" s="38">
        <v>15.0</v>
      </c>
      <c r="U180" s="38">
        <v>10.0</v>
      </c>
      <c r="V180" s="38">
        <v>10.0</v>
      </c>
      <c r="W180" s="38">
        <v>10.0</v>
      </c>
      <c r="X180" s="38">
        <v>15.0</v>
      </c>
      <c r="Y180" s="38">
        <v>15.0</v>
      </c>
      <c r="Z180" s="38">
        <v>10.0</v>
      </c>
    </row>
    <row r="181" ht="15.75" customHeight="1">
      <c r="B181" s="38" t="s">
        <v>104</v>
      </c>
      <c r="C181" s="38">
        <v>15.0</v>
      </c>
      <c r="D181" s="38">
        <v>10.0</v>
      </c>
      <c r="E181" s="38">
        <v>10.0</v>
      </c>
      <c r="F181" s="38">
        <v>10.0</v>
      </c>
      <c r="G181" s="38">
        <v>15.0</v>
      </c>
      <c r="H181" s="38">
        <v>15.0</v>
      </c>
      <c r="I181" s="38">
        <v>15.0</v>
      </c>
      <c r="J181" s="38">
        <v>10.0</v>
      </c>
      <c r="K181" s="38">
        <v>10.0</v>
      </c>
      <c r="L181" s="38">
        <v>15.0</v>
      </c>
      <c r="M181" s="38">
        <v>15.0</v>
      </c>
      <c r="N181" s="38">
        <v>15.0</v>
      </c>
      <c r="O181" s="38">
        <v>10.0</v>
      </c>
      <c r="P181" s="38">
        <v>15.0</v>
      </c>
      <c r="Q181" s="38">
        <v>15.0</v>
      </c>
      <c r="R181" s="38">
        <v>15.0</v>
      </c>
      <c r="S181" s="38">
        <v>15.0</v>
      </c>
      <c r="T181" s="38">
        <v>15.0</v>
      </c>
      <c r="U181" s="38">
        <v>10.0</v>
      </c>
      <c r="V181" s="38">
        <v>10.0</v>
      </c>
      <c r="W181" s="38">
        <v>10.0</v>
      </c>
      <c r="X181" s="38">
        <v>10.0</v>
      </c>
      <c r="Y181" s="38">
        <v>10.0</v>
      </c>
      <c r="Z181" s="38">
        <v>10.0</v>
      </c>
    </row>
    <row r="182" ht="15.75" customHeight="1">
      <c r="B182" s="38" t="s">
        <v>105</v>
      </c>
      <c r="C182" s="38">
        <v>10.0</v>
      </c>
      <c r="D182" s="38">
        <v>15.0</v>
      </c>
      <c r="E182" s="38">
        <v>10.0</v>
      </c>
      <c r="F182" s="38">
        <v>10.0</v>
      </c>
      <c r="G182" s="38">
        <v>10.0</v>
      </c>
      <c r="H182" s="38">
        <v>10.0</v>
      </c>
      <c r="I182" s="38">
        <v>10.0</v>
      </c>
      <c r="J182" s="38">
        <v>10.0</v>
      </c>
      <c r="K182" s="38">
        <v>15.0</v>
      </c>
      <c r="L182" s="38">
        <v>15.0</v>
      </c>
      <c r="M182" s="38">
        <v>15.0</v>
      </c>
      <c r="N182" s="38">
        <v>15.0</v>
      </c>
      <c r="O182" s="38">
        <v>15.0</v>
      </c>
      <c r="P182" s="38">
        <v>15.0</v>
      </c>
      <c r="Q182" s="38">
        <v>15.0</v>
      </c>
      <c r="R182" s="38">
        <v>15.0</v>
      </c>
      <c r="S182" s="38">
        <v>15.0</v>
      </c>
      <c r="T182" s="38">
        <v>15.0</v>
      </c>
      <c r="U182" s="38">
        <v>15.0</v>
      </c>
      <c r="V182" s="38">
        <v>15.0</v>
      </c>
      <c r="W182" s="38">
        <v>15.0</v>
      </c>
      <c r="X182" s="38">
        <v>15.0</v>
      </c>
      <c r="Y182" s="38">
        <v>15.0</v>
      </c>
      <c r="Z182" s="38">
        <v>10.0</v>
      </c>
    </row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劉侃璍</dc:creator>
</cp:coreProperties>
</file>