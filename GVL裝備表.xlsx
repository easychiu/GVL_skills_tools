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est\GVL_skills_tools\"/>
    </mc:Choice>
  </mc:AlternateContent>
  <bookViews>
    <workbookView xWindow="0" yWindow="0" windowWidth="27264" windowHeight="17748" activeTab="2"/>
  </bookViews>
  <sheets>
    <sheet name="選單" sheetId="1" r:id="rId1"/>
    <sheet name="炮船範例" sheetId="2" r:id="rId2"/>
    <sheet name="資料源(請謹慎編輯)" sheetId="3" r:id="rId3"/>
  </sheets>
  <definedNames>
    <definedName name="手套名冊">'資料源(請謹慎編輯)'!$B$129:$B$148</definedName>
    <definedName name="主武名冊">'資料源(請謹慎編輯)'!$B$44:$B$63</definedName>
    <definedName name="衣服名冊">'資料源(請謹慎編輯)'!$B$108:$B$127</definedName>
    <definedName name="角色上限">'資料源(請謹慎編輯)'!$B$184:$B$192</definedName>
    <definedName name="副武名冊">'資料源(請謹慎編輯)'!$B$66:$B$84</definedName>
    <definedName name="飾品名冊">'資料源(請謹慎編輯)'!$B$2:$B$20</definedName>
    <definedName name="鞋子名冊">'資料源(請謹慎編輯)'!$B$150:$B$168</definedName>
    <definedName name="頭盔名冊">'資料源(請謹慎編輯)'!$B$87:$B$106</definedName>
    <definedName name="職業名冊">'資料源(請謹慎編輯)'!$B$170:$B$193</definedName>
    <definedName name="寶物名冊">'資料源(請謹慎編輯)'!$B$23:$B$42</definedName>
  </definedNames>
  <calcPr calcId="162913"/>
  <extLst>
    <ext uri="GoogleSheetsCustomDataVersion2">
      <go:sheetsCustomData xmlns:go="http://customooxmlschemas.google.com/" r:id="rId7" roundtripDataChecksum="oDrnoE2SfqkiwKJ4TW5e768RhH0dGMb8tIZN/Ugeqho="/>
    </ext>
  </extLst>
</workbook>
</file>

<file path=xl/calcChain.xml><?xml version="1.0" encoding="utf-8"?>
<calcChain xmlns="http://schemas.openxmlformats.org/spreadsheetml/2006/main">
  <c r="V13" i="2" l="1" a="1"/>
  <c r="J4" i="1" a="1"/>
  <c r="L8" i="1" a="1"/>
  <c r="U9" i="2" a="1"/>
  <c r="X4" i="1" a="1"/>
  <c r="Z5" i="2" a="1"/>
  <c r="C4" i="2" a="1"/>
  <c r="T8" i="1" a="1"/>
  <c r="N7" i="1" a="1"/>
  <c r="P11" i="2" a="1"/>
  <c r="T2" i="2" a="1"/>
  <c r="S12" i="1" a="1"/>
  <c r="L3" i="2" a="1"/>
  <c r="X9" i="2" a="1"/>
  <c r="Q2" i="1" a="1"/>
  <c r="X7" i="1" a="1"/>
  <c r="K4" i="1" a="1"/>
  <c r="I13" i="2" a="1"/>
  <c r="T9" i="2" a="1"/>
  <c r="X10" i="2" a="1"/>
  <c r="C6" i="1" a="1"/>
  <c r="V8" i="2" a="1"/>
  <c r="Q7" i="1" a="1"/>
  <c r="E4" i="2" a="1"/>
  <c r="P12" i="1" a="1"/>
  <c r="I6" i="1" a="1"/>
  <c r="X9" i="1" a="1"/>
  <c r="Z9" i="1" a="1"/>
  <c r="O6" i="2" a="1"/>
  <c r="F12" i="1" a="1"/>
  <c r="D12" i="1" a="1"/>
  <c r="E2" i="2" a="1"/>
  <c r="Q12" i="1" a="1"/>
  <c r="O7" i="1" a="1"/>
  <c r="H7" i="2" a="1"/>
  <c r="I7" i="1" a="1"/>
  <c r="L10" i="1" a="1"/>
  <c r="F13" i="2" a="1"/>
  <c r="R3" i="1" a="1"/>
  <c r="X8" i="1" a="1"/>
  <c r="E9" i="2" a="1"/>
  <c r="X2" i="1" a="1"/>
  <c r="T9" i="1" a="1"/>
  <c r="N10" i="1" a="1"/>
  <c r="W7" i="1" a="1"/>
  <c r="V6" i="1" a="1"/>
  <c r="X4" i="2" a="1"/>
  <c r="H11" i="1" a="1"/>
  <c r="C12" i="1" a="1"/>
  <c r="P10" i="1" a="1"/>
  <c r="L6" i="1" a="1"/>
  <c r="T6" i="2" a="1"/>
  <c r="S10" i="2" a="1"/>
  <c r="C6" i="2" a="1"/>
  <c r="Q12" i="2" a="1"/>
  <c r="P2" i="2" a="1"/>
  <c r="L2" i="2" a="1"/>
  <c r="D10" i="2" a="1"/>
  <c r="H5" i="2" a="1"/>
  <c r="G5" i="1" a="1"/>
  <c r="Y3" i="2" a="1"/>
  <c r="M13" i="1" a="1"/>
  <c r="N12" i="2" a="1"/>
  <c r="Z2" i="1" a="1"/>
  <c r="C3" i="2" a="1"/>
  <c r="M8" i="2" a="1"/>
  <c r="S3" i="2" a="1"/>
  <c r="L2" i="1" a="1"/>
  <c r="E9" i="1" a="1"/>
  <c r="F3" i="1" a="1"/>
  <c r="N5" i="1" a="1"/>
  <c r="H2" i="2" a="1"/>
  <c r="P8" i="1" a="1"/>
  <c r="K11" i="1" a="1"/>
  <c r="X5" i="1" a="1"/>
  <c r="S9" i="1" a="1"/>
  <c r="D4" i="2" a="1"/>
  <c r="O10" i="1" a="1"/>
  <c r="F13" i="1" a="1"/>
  <c r="Y11" i="2" a="1"/>
  <c r="K8" i="1" a="1"/>
  <c r="I8" i="2" a="1"/>
  <c r="P8" i="2" a="1"/>
  <c r="L4" i="1" a="1"/>
  <c r="I5" i="2" a="1"/>
  <c r="M5" i="1" a="1"/>
  <c r="R10" i="2" a="1"/>
  <c r="Z9" i="2" a="1"/>
  <c r="L13" i="1" a="1"/>
  <c r="H7" i="1" a="1"/>
  <c r="Y6" i="2" a="1"/>
  <c r="X10" i="1" a="1"/>
  <c r="G13" i="1" a="1"/>
  <c r="U7" i="1" a="1"/>
  <c r="Y2" i="1" a="1"/>
  <c r="I11" i="1" a="1"/>
  <c r="W2" i="2" a="1"/>
  <c r="F6" i="1" a="1"/>
  <c r="X11" i="2" a="1"/>
  <c r="S13" i="1" a="1"/>
  <c r="V11" i="2" a="1"/>
  <c r="J2" i="1" a="1"/>
  <c r="O11" i="1" a="1"/>
  <c r="U7" i="2" a="1"/>
  <c r="W12" i="1" a="1"/>
  <c r="K2" i="1" a="1"/>
  <c r="P4" i="2" a="1"/>
  <c r="M8" i="1" a="1"/>
  <c r="V4" i="1" a="1"/>
  <c r="D6" i="1" a="1"/>
  <c r="X3" i="1" a="1"/>
  <c r="S10" i="1" a="1"/>
  <c r="S8" i="2" a="1"/>
  <c r="N13" i="2" a="1"/>
  <c r="X11" i="1" a="1"/>
  <c r="O2" i="1" a="1"/>
  <c r="M2" i="1" a="1"/>
  <c r="I11" i="2" a="1"/>
  <c r="J10" i="2" a="1"/>
  <c r="L11" i="2" a="1"/>
  <c r="Q9" i="2" a="1"/>
  <c r="M7" i="2" a="1"/>
  <c r="V6" i="2" a="1"/>
  <c r="K3" i="2" a="1"/>
  <c r="E7" i="1" a="1"/>
  <c r="V8" i="1" a="1"/>
  <c r="F11" i="2" a="1"/>
  <c r="H10" i="1" a="1"/>
  <c r="G10" i="1" a="1"/>
  <c r="E7" i="2" a="1"/>
  <c r="G8" i="1" a="1"/>
  <c r="T13" i="2" a="1"/>
  <c r="O13" i="1" a="1"/>
  <c r="X7" i="2" a="1"/>
  <c r="F4" i="1" a="1"/>
  <c r="U9" i="1" a="1"/>
  <c r="K11" i="2" a="1"/>
  <c r="C10" i="1" a="1"/>
  <c r="W13" i="1" a="1"/>
  <c r="V12" i="2" a="1"/>
  <c r="H9" i="1" a="1"/>
  <c r="N12" i="1" a="1"/>
  <c r="D5" i="1" a="1"/>
  <c r="Q10" i="2" a="1"/>
  <c r="L13" i="2" a="1"/>
  <c r="Z2" i="2" a="1"/>
  <c r="Y8" i="2" a="1"/>
  <c r="U6" i="2" a="1"/>
  <c r="O5" i="2" a="1"/>
  <c r="W4" i="2" a="1"/>
  <c r="M12" i="2" a="1"/>
  <c r="D2" i="1" a="1"/>
  <c r="N10" i="2" a="1"/>
  <c r="P7" i="1" a="1"/>
  <c r="W6" i="1" a="1"/>
  <c r="M6" i="2" a="1"/>
  <c r="W4" i="1" a="1"/>
  <c r="D13" i="2" a="1"/>
  <c r="U4" i="1" a="1"/>
  <c r="R13" i="2" a="1"/>
  <c r="T10" i="1" a="1"/>
  <c r="H3" i="2" a="1"/>
  <c r="G11" i="1" a="1"/>
  <c r="K9" i="1" a="1"/>
  <c r="G7" i="1" a="1"/>
  <c r="F12" i="2" a="1"/>
  <c r="P4" i="1" a="1"/>
  <c r="Y5" i="2" a="1"/>
  <c r="K13" i="2" a="1"/>
  <c r="Y9" i="2" a="1"/>
  <c r="E11" i="1" a="1"/>
  <c r="F5" i="1" a="1"/>
  <c r="J9" i="2" a="1"/>
  <c r="H12" i="1" a="1"/>
  <c r="M10" i="1" a="1"/>
  <c r="U11" i="2" a="1"/>
  <c r="V9" i="2" a="1"/>
  <c r="P5" i="1" a="1"/>
  <c r="O5" i="1" a="1"/>
  <c r="U5" i="2" a="1"/>
  <c r="W2" i="1" a="1"/>
  <c r="L12" i="2" a="1"/>
  <c r="L11" i="1" a="1"/>
  <c r="Z12" i="2" a="1"/>
  <c r="G9" i="1" a="1"/>
  <c r="C9" i="1" a="1"/>
  <c r="F9" i="1" a="1"/>
  <c r="S8" i="1" a="1"/>
  <c r="J5" i="2" a="1"/>
  <c r="N11" i="2" a="1"/>
  <c r="K9" i="2" a="1"/>
  <c r="M4" i="1" a="1"/>
  <c r="S12" i="2" a="1"/>
  <c r="I9" i="2" a="1"/>
  <c r="E8" i="1" a="1"/>
  <c r="M3" i="2" a="1"/>
  <c r="S5" i="2" a="1"/>
  <c r="P2" i="1" a="1"/>
  <c r="C8" i="2" a="1"/>
  <c r="R4" i="1" a="1"/>
  <c r="Z3" i="1" a="1"/>
  <c r="Q8" i="1" a="1"/>
  <c r="Y3" i="1" a="1"/>
  <c r="F8" i="1" a="1"/>
  <c r="F9" i="2" a="1"/>
  <c r="H4" i="1" a="1"/>
  <c r="O3" i="1" a="1"/>
  <c r="E5" i="2" a="1"/>
  <c r="N3" i="1" a="1"/>
  <c r="T11" i="2" a="1"/>
  <c r="O8" i="1" a="1"/>
  <c r="J12" i="2" a="1"/>
  <c r="N8" i="1" a="1"/>
  <c r="P13" i="2" a="1"/>
  <c r="N2" i="1" a="1"/>
  <c r="C8" i="1" a="1"/>
  <c r="N6" i="1" a="1"/>
  <c r="V10" i="2" a="1"/>
  <c r="O12" i="1" a="1"/>
  <c r="H11" i="2" a="1"/>
  <c r="K7" i="2" a="1"/>
  <c r="Q8" i="2" a="1"/>
  <c r="E3" i="2" a="1"/>
  <c r="Y6" i="1" a="1"/>
  <c r="V12" i="1" a="1"/>
  <c r="W5" i="2" a="1"/>
  <c r="C5" i="1" a="1"/>
  <c r="I2" i="1" a="1"/>
  <c r="N8" i="2" a="1"/>
  <c r="P3" i="1" a="1"/>
  <c r="V2" i="1" a="1"/>
  <c r="M4" i="2" a="1"/>
  <c r="Y2" i="2" a="1"/>
  <c r="D11" i="2" a="1"/>
  <c r="F7" i="1" a="1"/>
  <c r="R11" i="2" a="1"/>
  <c r="U13" i="1" a="1"/>
  <c r="X12" i="2" a="1"/>
  <c r="Q2" i="2" a="1"/>
  <c r="K7" i="1" a="1"/>
  <c r="I3" i="2" a="1"/>
  <c r="F10" i="2" a="1"/>
  <c r="O4" i="1" a="1"/>
  <c r="T5" i="1" a="1"/>
  <c r="W11" i="1" a="1"/>
  <c r="Y7" i="2" a="1"/>
  <c r="E12" i="1" a="1"/>
  <c r="E8" i="2" a="1"/>
  <c r="N13" i="1" a="1"/>
  <c r="I4" i="1" a="1"/>
  <c r="R2" i="1" a="1"/>
  <c r="M10" i="2" a="1"/>
  <c r="V7" i="2" a="1"/>
  <c r="H2" i="1" a="1"/>
  <c r="Q5" i="2" a="1"/>
  <c r="U3" i="2" a="1"/>
  <c r="U10" i="1" a="1"/>
  <c r="L10" i="2" a="1"/>
  <c r="L12" i="1" a="1"/>
  <c r="Z10" i="2" a="1"/>
  <c r="X5" i="2" a="1"/>
  <c r="H12" i="2" a="1"/>
  <c r="E5" i="1" a="1"/>
  <c r="S6" i="1" a="1"/>
  <c r="P10" i="2" a="1"/>
  <c r="N9" i="2" a="1"/>
  <c r="J3" i="2" a="1"/>
  <c r="K10" i="1" a="1"/>
  <c r="Z3" i="2" a="1"/>
  <c r="I7" i="2" a="1"/>
  <c r="K2" i="2" a="1"/>
  <c r="O7" i="2" a="1"/>
  <c r="Z11" i="1" a="1"/>
  <c r="Z7" i="1" a="1"/>
  <c r="Y11" i="1" a="1"/>
  <c r="G4" i="2" a="1"/>
  <c r="O3" i="2" a="1"/>
  <c r="R6" i="2" a="1"/>
  <c r="P12" i="2" a="1"/>
  <c r="F7" i="2" a="1"/>
  <c r="N6" i="2" a="1"/>
  <c r="G12" i="1" a="1"/>
  <c r="E10" i="1" a="1"/>
  <c r="M2" i="2" a="1"/>
  <c r="E6" i="1" a="1"/>
  <c r="D9" i="2" a="1"/>
  <c r="S13" i="2" a="1"/>
  <c r="R9" i="2" a="1"/>
  <c r="M9" i="1" a="1"/>
  <c r="H10" i="2" a="1"/>
  <c r="D7" i="1" a="1"/>
  <c r="K5" i="1" a="1"/>
  <c r="C11" i="1" a="1"/>
  <c r="F6" i="2" a="1"/>
  <c r="M6" i="1" a="1"/>
  <c r="L7" i="2" a="1"/>
  <c r="S5" i="1" a="1"/>
  <c r="D11" i="1" a="1"/>
  <c r="I8" i="1" a="1"/>
  <c r="E2" i="1" a="1"/>
  <c r="P11" i="1" a="1"/>
  <c r="Y4" i="2" a="1"/>
  <c r="N4" i="1" a="1"/>
  <c r="V5" i="2" a="1"/>
  <c r="W10" i="1" a="1"/>
  <c r="M7" i="1" a="1"/>
  <c r="Q13" i="1" a="1"/>
  <c r="U2" i="1" a="1"/>
  <c r="L8" i="2" a="1"/>
  <c r="C13" i="2" a="1"/>
  <c r="Z8" i="2" a="1"/>
  <c r="L3" i="1" a="1"/>
  <c r="P9" i="2" a="1"/>
  <c r="S7" i="1" a="1"/>
  <c r="S4" i="1" a="1"/>
  <c r="N7" i="2" a="1"/>
  <c r="F4" i="2" a="1"/>
  <c r="H13" i="2" a="1"/>
  <c r="D2" i="2" a="1"/>
  <c r="V3" i="1" a="1"/>
  <c r="K6" i="1" a="1"/>
  <c r="R2" i="2" a="1"/>
  <c r="Q4" i="2" a="1"/>
  <c r="D3" i="1" a="1"/>
  <c r="Q3" i="1" a="1"/>
  <c r="Q6" i="2" a="1"/>
  <c r="F5" i="2" a="1"/>
  <c r="W8" i="1" a="1"/>
  <c r="U6" i="1" a="1"/>
  <c r="Y12" i="1" a="1"/>
  <c r="T12" i="1" a="1"/>
  <c r="T7" i="2" a="1"/>
  <c r="K12" i="2" a="1"/>
  <c r="J8" i="2" a="1"/>
  <c r="C2" i="2" a="1"/>
  <c r="X8" i="2" a="1"/>
  <c r="O13" i="2" a="1"/>
  <c r="C4" i="1" a="1"/>
  <c r="V4" i="2" a="1"/>
  <c r="R10" i="1" a="1"/>
  <c r="D9" i="1" a="1"/>
  <c r="P6" i="1" a="1"/>
  <c r="E13" i="1" a="1"/>
  <c r="W13" i="2" a="1"/>
  <c r="U8" i="1" a="1"/>
  <c r="W8" i="2" a="1"/>
  <c r="D12" i="2" a="1"/>
  <c r="G8" i="2" a="1"/>
  <c r="J2" i="2" a="1"/>
  <c r="W7" i="2" a="1"/>
  <c r="W6" i="2" a="1"/>
  <c r="Q7" i="2" a="1"/>
  <c r="K4" i="2" a="1"/>
  <c r="I13" i="1" a="1"/>
  <c r="I6" i="2" a="1"/>
  <c r="L5" i="2" a="1"/>
  <c r="R6" i="1" a="1"/>
  <c r="X3" i="2" a="1"/>
  <c r="N9" i="1" a="1"/>
  <c r="Y5" i="1" a="1"/>
  <c r="N4" i="2" a="1"/>
  <c r="G6" i="1" a="1"/>
  <c r="E4" i="1" a="1"/>
  <c r="I12" i="1" a="1"/>
  <c r="D10" i="1" a="1"/>
  <c r="D7" i="2" a="1"/>
  <c r="S11" i="2" a="1"/>
  <c r="R7" i="2" a="1"/>
  <c r="Z7" i="2" a="1"/>
  <c r="H8" i="2" a="1"/>
  <c r="W12" i="2" a="1"/>
  <c r="K3" i="1" a="1"/>
  <c r="Z13" i="1" a="1"/>
  <c r="H3" i="1" a="1"/>
  <c r="C13" i="1" a="1"/>
  <c r="C12" i="2" a="1"/>
  <c r="T11" i="1" a="1"/>
  <c r="G13" i="2" a="1"/>
  <c r="D3" i="2" a="1"/>
  <c r="I3" i="1" a="1"/>
  <c r="C7" i="2" a="1"/>
  <c r="T4" i="2" a="1"/>
  <c r="T10" i="2" a="1"/>
  <c r="H9" i="2" a="1"/>
  <c r="Y13" i="1" a="1"/>
  <c r="T3" i="1" a="1"/>
  <c r="J9" i="1" a="1"/>
  <c r="H8" i="1" a="1"/>
  <c r="O4" i="2" a="1"/>
  <c r="J3" i="1" a="1"/>
  <c r="C3" i="1" a="1"/>
  <c r="I5" i="1" a="1"/>
  <c r="Q4" i="1" a="1"/>
  <c r="S2" i="2" a="1"/>
  <c r="D13" i="1" a="1"/>
  <c r="V3" i="2" a="1"/>
  <c r="G4" i="1" a="1"/>
  <c r="X2" i="2" a="1"/>
  <c r="Q11" i="1" a="1"/>
  <c r="T6" i="1" a="1"/>
  <c r="L6" i="2" a="1"/>
  <c r="C11" i="2" a="1"/>
  <c r="Z6" i="2" a="1"/>
  <c r="P6" i="2" a="1"/>
  <c r="P7" i="2" a="1"/>
  <c r="G12" i="2" a="1"/>
  <c r="S2" i="1" a="1"/>
  <c r="J11" i="1" a="1"/>
  <c r="S6" i="2" a="1"/>
  <c r="M13" i="2" a="1"/>
  <c r="V7" i="1" a="1"/>
  <c r="S3" i="1" a="1"/>
  <c r="O12" i="2" a="1"/>
  <c r="V9" i="1" a="1"/>
  <c r="V2" i="2" a="1"/>
  <c r="G9" i="2" a="1"/>
  <c r="I10" i="2" a="1"/>
  <c r="U8" i="2" a="1"/>
  <c r="K6" i="2" a="1"/>
  <c r="X12" i="1" a="1"/>
  <c r="G7" i="2" a="1"/>
  <c r="C5" i="2" a="1"/>
  <c r="R8" i="2" a="1"/>
  <c r="R12" i="1" a="1"/>
  <c r="J7" i="2" a="1"/>
  <c r="U13" i="2" a="1"/>
  <c r="H13" i="1" a="1"/>
  <c r="V13" i="1" a="1"/>
  <c r="H5" i="1" a="1"/>
  <c r="I9" i="1" a="1"/>
  <c r="P9" i="1" a="1"/>
  <c r="X13" i="1" a="1"/>
  <c r="F3" i="2" a="1"/>
  <c r="G2" i="1" a="1"/>
  <c r="L9" i="1" a="1"/>
  <c r="Y10" i="1" a="1"/>
  <c r="D4" i="1" a="1"/>
  <c r="T5" i="2" a="1"/>
  <c r="K10" i="2" a="1"/>
  <c r="J6" i="2" a="1"/>
  <c r="Q13" i="2" a="1"/>
  <c r="X6" i="2" a="1"/>
  <c r="O11" i="2" a="1"/>
  <c r="C2" i="1" a="1"/>
  <c r="R8" i="1" a="1"/>
  <c r="U5" i="1" a="1"/>
  <c r="U12" i="2" a="1"/>
  <c r="U11" i="1" a="1"/>
  <c r="Z13" i="2" a="1"/>
  <c r="W11" i="2" a="1"/>
  <c r="R3" i="2" a="1"/>
  <c r="P13" i="1" a="1"/>
  <c r="T2" i="1" a="1"/>
  <c r="W5" i="1" a="1"/>
  <c r="G3" i="2" a="1"/>
  <c r="E11" i="2" a="1"/>
  <c r="N2" i="2" a="1"/>
  <c r="F2" i="1" a="1"/>
  <c r="T4" i="1" a="1"/>
  <c r="I10" i="1" a="1"/>
  <c r="K5" i="2" a="1"/>
  <c r="D5" i="2" a="1"/>
  <c r="S9" i="2" a="1"/>
  <c r="R5" i="2" a="1"/>
  <c r="Y12" i="2" a="1"/>
  <c r="H6" i="2" a="1"/>
  <c r="W10" i="2" a="1"/>
  <c r="F8" i="2" a="1"/>
  <c r="J7" i="1" a="1"/>
  <c r="X13" i="2" a="1"/>
  <c r="E12" i="2" a="1"/>
  <c r="T13" i="1" a="1"/>
  <c r="J13" i="2" a="1"/>
  <c r="G11" i="2" a="1"/>
  <c r="S7" i="2" a="1"/>
  <c r="J11" i="2" a="1"/>
  <c r="D8" i="1" a="1"/>
  <c r="M12" i="1" a="1"/>
  <c r="L7" i="1" a="1"/>
  <c r="U4" i="2" a="1"/>
  <c r="N11" i="1" a="1"/>
  <c r="F11" i="1" a="1"/>
  <c r="Q10" i="1" a="1"/>
  <c r="F10" i="1" a="1"/>
  <c r="W3" i="2" a="1"/>
  <c r="G3" i="1" a="1"/>
  <c r="M3" i="1" a="1"/>
  <c r="D8" i="2" a="1"/>
  <c r="Y13" i="2" a="1"/>
  <c r="R13" i="1" a="1"/>
  <c r="I4" i="2" a="1"/>
  <c r="S4" i="2" a="1"/>
  <c r="Q9" i="1" a="1"/>
  <c r="W9" i="1" a="1"/>
  <c r="L4" i="2" a="1"/>
  <c r="C9" i="2" a="1"/>
  <c r="Z4" i="2" a="1"/>
  <c r="I12" i="2" a="1"/>
  <c r="P5" i="2" a="1"/>
  <c r="G10" i="2" a="1"/>
  <c r="N5" i="2" a="1"/>
  <c r="J5" i="1" a="1"/>
  <c r="M9" i="2" a="1"/>
  <c r="M11" i="2" a="1"/>
  <c r="C7" i="1" a="1"/>
  <c r="R12" i="2" a="1"/>
  <c r="O10" i="2" a="1"/>
  <c r="Y10" i="2" a="1"/>
  <c r="E10" i="2" a="1"/>
  <c r="V5" i="1" a="1"/>
  <c r="F2" i="2" a="1"/>
  <c r="J13" i="1" a="1"/>
  <c r="E3" i="1" a="1"/>
  <c r="U2" i="2" a="1"/>
  <c r="G6" i="2" a="1"/>
  <c r="L9" i="2" a="1"/>
  <c r="Y4" i="1" a="1"/>
  <c r="T8" i="2" a="1"/>
  <c r="Z5" i="1" a="1"/>
  <c r="G5" i="2" a="1"/>
  <c r="X6" i="1" a="1"/>
  <c r="U12" i="1" a="1"/>
  <c r="Y9" i="1" a="1"/>
  <c r="Q3" i="2" a="1"/>
  <c r="C10" i="2" a="1"/>
  <c r="Y7" i="1" a="1"/>
  <c r="R4" i="2" a="1"/>
  <c r="O2" i="2" a="1"/>
  <c r="H6" i="1" a="1"/>
  <c r="D6" i="2" a="1"/>
  <c r="S11" i="1" a="1"/>
  <c r="Z12" i="1" a="1"/>
  <c r="M11" i="1" a="1"/>
  <c r="O6" i="1" a="1"/>
  <c r="Y8" i="1" a="1"/>
  <c r="W3" i="1" a="1"/>
  <c r="T3" i="2" a="1"/>
  <c r="K8" i="2" a="1"/>
  <c r="J4" i="2" a="1"/>
  <c r="Q11" i="2" a="1"/>
  <c r="H4" i="2" a="1"/>
  <c r="O9" i="2" a="1"/>
  <c r="N3" i="2" a="1"/>
  <c r="Q6" i="1" a="1"/>
  <c r="E6" i="2" a="1"/>
  <c r="U10" i="2" a="1"/>
  <c r="T12" i="2" a="1"/>
  <c r="Z11" i="2" a="1"/>
  <c r="W9" i="2" a="1"/>
  <c r="P3" i="2" a="1"/>
  <c r="O8" i="2" a="1"/>
  <c r="V11" i="1" a="1"/>
  <c r="Q5" i="1" a="1"/>
  <c r="E13" i="2" a="1"/>
  <c r="G2" i="2" a="1"/>
  <c r="K13" i="1" a="1"/>
  <c r="J12" i="1" a="1"/>
  <c r="M5" i="2" a="1"/>
  <c r="T7" i="1" a="1"/>
  <c r="K12" i="1" a="1"/>
  <c r="O9" i="1" a="1"/>
  <c r="L5" i="1" a="1"/>
  <c r="R11" i="1" a="1"/>
  <c r="V10" i="1" a="1"/>
  <c r="I2" i="2" a="1"/>
  <c r="U3" i="1" a="1"/>
  <c r="Z10" i="1" a="1"/>
  <c r="J10" i="1" a="1"/>
  <c r="R9" i="1" a="1"/>
  <c r="Z8" i="1" a="1"/>
  <c r="J8" i="1" a="1"/>
  <c r="R7" i="1" a="1"/>
  <c r="Z6" i="1" a="1"/>
  <c r="J6" i="1" a="1"/>
  <c r="R5" i="1" a="1"/>
  <c r="Z4" i="1" a="1"/>
  <c r="Z4" i="1" l="1"/>
  <c r="R5" i="1"/>
  <c r="J6" i="1"/>
  <c r="Z6" i="1"/>
  <c r="R7" i="1"/>
  <c r="J8" i="1"/>
  <c r="Z8" i="1"/>
  <c r="R9" i="1"/>
  <c r="J10" i="1"/>
  <c r="Z10" i="1"/>
  <c r="U3" i="1"/>
  <c r="I2" i="2"/>
  <c r="I15" i="2" s="1"/>
  <c r="V10" i="1"/>
  <c r="R11" i="1"/>
  <c r="L5" i="1"/>
  <c r="O9" i="1"/>
  <c r="K12" i="1"/>
  <c r="T7" i="1"/>
  <c r="M5" i="2"/>
  <c r="J12" i="1"/>
  <c r="K13" i="1"/>
  <c r="G2" i="2"/>
  <c r="G15" i="2" s="1"/>
  <c r="E13" i="2"/>
  <c r="Q5" i="1"/>
  <c r="V11" i="1"/>
  <c r="O8" i="2"/>
  <c r="P3" i="2"/>
  <c r="W9" i="2"/>
  <c r="Z11" i="2"/>
  <c r="T12" i="2"/>
  <c r="U10" i="2"/>
  <c r="E6" i="2"/>
  <c r="Q6" i="1"/>
  <c r="N3" i="2"/>
  <c r="O9" i="2"/>
  <c r="H4" i="2"/>
  <c r="Q11" i="2"/>
  <c r="J4" i="2"/>
  <c r="K8" i="2"/>
  <c r="T3" i="2"/>
  <c r="W3" i="1"/>
  <c r="Y8" i="1"/>
  <c r="O6" i="1"/>
  <c r="M11" i="1"/>
  <c r="Z12" i="1"/>
  <c r="S11" i="1"/>
  <c r="D6" i="2"/>
  <c r="H6" i="1"/>
  <c r="O2" i="2"/>
  <c r="O15" i="2" s="1"/>
  <c r="R4" i="2"/>
  <c r="Y7" i="1"/>
  <c r="C10" i="2"/>
  <c r="Q3" i="2"/>
  <c r="Y9" i="1"/>
  <c r="U12" i="1"/>
  <c r="X6" i="1"/>
  <c r="G5" i="2"/>
  <c r="Z5" i="1"/>
  <c r="T8" i="2"/>
  <c r="Y4" i="1"/>
  <c r="L9" i="2"/>
  <c r="G6" i="2"/>
  <c r="U2" i="2"/>
  <c r="U15" i="2" s="1"/>
  <c r="E3" i="1"/>
  <c r="J13" i="1"/>
  <c r="F2" i="2"/>
  <c r="F15" i="2" s="1"/>
  <c r="V5" i="1"/>
  <c r="E10" i="2"/>
  <c r="Y10" i="2"/>
  <c r="O10" i="2"/>
  <c r="R12" i="2"/>
  <c r="C7" i="1"/>
  <c r="M11" i="2"/>
  <c r="M9" i="2"/>
  <c r="J5" i="1"/>
  <c r="N5" i="2"/>
  <c r="G10" i="2"/>
  <c r="P5" i="2"/>
  <c r="I12" i="2"/>
  <c r="Z4" i="2"/>
  <c r="C9" i="2"/>
  <c r="L4" i="2"/>
  <c r="W9" i="1"/>
  <c r="Q9" i="1"/>
  <c r="S4" i="2"/>
  <c r="I4" i="2"/>
  <c r="R13" i="1"/>
  <c r="Y13" i="2"/>
  <c r="D8" i="2"/>
  <c r="M3" i="1"/>
  <c r="G3" i="1"/>
  <c r="W3" i="2"/>
  <c r="F10" i="1"/>
  <c r="Q10" i="1"/>
  <c r="F11" i="1"/>
  <c r="N11" i="1"/>
  <c r="U4" i="2"/>
  <c r="L7" i="1"/>
  <c r="M12" i="1"/>
  <c r="D8" i="1"/>
  <c r="J11" i="2"/>
  <c r="S7" i="2"/>
  <c r="G11" i="2"/>
  <c r="J13" i="2"/>
  <c r="T13" i="1"/>
  <c r="E12" i="2"/>
  <c r="X13" i="2"/>
  <c r="J7" i="1"/>
  <c r="F8" i="2"/>
  <c r="W10" i="2"/>
  <c r="H6" i="2"/>
  <c r="Y12" i="2"/>
  <c r="R5" i="2"/>
  <c r="S9" i="2"/>
  <c r="D5" i="2"/>
  <c r="K5" i="2"/>
  <c r="I10" i="1"/>
  <c r="T4" i="1"/>
  <c r="F2" i="1"/>
  <c r="F15" i="1" s="1"/>
  <c r="N2" i="2"/>
  <c r="N15" i="2" s="1"/>
  <c r="E11" i="2"/>
  <c r="G3" i="2"/>
  <c r="W5" i="1"/>
  <c r="T2" i="1"/>
  <c r="T15" i="1" s="1"/>
  <c r="P13" i="1"/>
  <c r="R3" i="2"/>
  <c r="W11" i="2"/>
  <c r="Z13" i="2"/>
  <c r="U11" i="1"/>
  <c r="U12" i="2"/>
  <c r="U5" i="1"/>
  <c r="R8" i="1"/>
  <c r="C2" i="1"/>
  <c r="C15" i="1" s="1"/>
  <c r="O11" i="2"/>
  <c r="X6" i="2"/>
  <c r="Q13" i="2"/>
  <c r="J6" i="2"/>
  <c r="K10" i="2"/>
  <c r="T5" i="2"/>
  <c r="D4" i="1"/>
  <c r="Y10" i="1"/>
  <c r="L9" i="1"/>
  <c r="G2" i="1"/>
  <c r="G15" i="1" s="1"/>
  <c r="F3" i="2"/>
  <c r="X13" i="1"/>
  <c r="P9" i="1"/>
  <c r="I9" i="1"/>
  <c r="H5" i="1"/>
  <c r="V13" i="1"/>
  <c r="H13" i="1"/>
  <c r="U13" i="2"/>
  <c r="J7" i="2"/>
  <c r="R12" i="1"/>
  <c r="R8" i="2"/>
  <c r="C5" i="2"/>
  <c r="G7" i="2"/>
  <c r="X12" i="1"/>
  <c r="K6" i="2"/>
  <c r="U8" i="2"/>
  <c r="I10" i="2"/>
  <c r="G9" i="2"/>
  <c r="V2" i="2"/>
  <c r="V15" i="2" s="1"/>
  <c r="V9" i="1"/>
  <c r="O12" i="2"/>
  <c r="S3" i="1"/>
  <c r="V7" i="1"/>
  <c r="M13" i="2"/>
  <c r="S6" i="2"/>
  <c r="J11" i="1"/>
  <c r="S2" i="1"/>
  <c r="S15" i="1" s="1"/>
  <c r="G12" i="2"/>
  <c r="P7" i="2"/>
  <c r="P6" i="2"/>
  <c r="Z6" i="2"/>
  <c r="C11" i="2"/>
  <c r="L6" i="2"/>
  <c r="T6" i="1"/>
  <c r="Q11" i="1"/>
  <c r="X2" i="2"/>
  <c r="X15" i="2" s="1"/>
  <c r="G4" i="1"/>
  <c r="V3" i="2"/>
  <c r="D13" i="1"/>
  <c r="S2" i="2"/>
  <c r="S15" i="2" s="1"/>
  <c r="Q4" i="1"/>
  <c r="I5" i="1"/>
  <c r="C3" i="1"/>
  <c r="J3" i="1"/>
  <c r="O4" i="2"/>
  <c r="H8" i="1"/>
  <c r="J9" i="1"/>
  <c r="T3" i="1"/>
  <c r="Y13" i="1"/>
  <c r="H9" i="2"/>
  <c r="T10" i="2"/>
  <c r="T4" i="2"/>
  <c r="C7" i="2"/>
  <c r="I3" i="1"/>
  <c r="D3" i="2"/>
  <c r="G13" i="2"/>
  <c r="T11" i="1"/>
  <c r="C12" i="2"/>
  <c r="C13" i="1"/>
  <c r="H3" i="1"/>
  <c r="Z13" i="1"/>
  <c r="K3" i="1"/>
  <c r="W12" i="2"/>
  <c r="H8" i="2"/>
  <c r="Z7" i="2"/>
  <c r="R7" i="2"/>
  <c r="S11" i="2"/>
  <c r="D7" i="2"/>
  <c r="D10" i="1"/>
  <c r="I12" i="1"/>
  <c r="E4" i="1"/>
  <c r="G6" i="1"/>
  <c r="N4" i="2"/>
  <c r="Y5" i="1"/>
  <c r="N9" i="1"/>
  <c r="X3" i="2"/>
  <c r="R6" i="1"/>
  <c r="L5" i="2"/>
  <c r="I6" i="2"/>
  <c r="I13" i="1"/>
  <c r="K4" i="2"/>
  <c r="Q7" i="2"/>
  <c r="W6" i="2"/>
  <c r="W7" i="2"/>
  <c r="J2" i="2"/>
  <c r="J15" i="2" s="1"/>
  <c r="G8" i="2"/>
  <c r="D12" i="2"/>
  <c r="W8" i="2"/>
  <c r="U8" i="1"/>
  <c r="W13" i="2"/>
  <c r="E13" i="1"/>
  <c r="P6" i="1"/>
  <c r="D9" i="1"/>
  <c r="R10" i="1"/>
  <c r="V4" i="2"/>
  <c r="C4" i="1"/>
  <c r="O13" i="2"/>
  <c r="X8" i="2"/>
  <c r="C2" i="2"/>
  <c r="C15" i="2" s="1"/>
  <c r="J8" i="2"/>
  <c r="K12" i="2"/>
  <c r="T7" i="2"/>
  <c r="T12" i="1"/>
  <c r="Y12" i="1"/>
  <c r="U6" i="1"/>
  <c r="W8" i="1"/>
  <c r="F5" i="2"/>
  <c r="Q6" i="2"/>
  <c r="Q3" i="1"/>
  <c r="D3" i="1"/>
  <c r="Q4" i="2"/>
  <c r="R2" i="2"/>
  <c r="R15" i="2" s="1"/>
  <c r="K6" i="1"/>
  <c r="V3" i="1"/>
  <c r="D2" i="2"/>
  <c r="D15" i="2" s="1"/>
  <c r="H13" i="2"/>
  <c r="F4" i="2"/>
  <c r="N7" i="2"/>
  <c r="S4" i="1"/>
  <c r="S7" i="1"/>
  <c r="P9" i="2"/>
  <c r="L3" i="1"/>
  <c r="Z8" i="2"/>
  <c r="C13" i="2"/>
  <c r="L8" i="2"/>
  <c r="U2" i="1"/>
  <c r="U15" i="1" s="1"/>
  <c r="Q13" i="1"/>
  <c r="M7" i="1"/>
  <c r="W10" i="1"/>
  <c r="V5" i="2"/>
  <c r="N4" i="1"/>
  <c r="Y4" i="2"/>
  <c r="P11" i="1"/>
  <c r="E2" i="1"/>
  <c r="E15" i="1" s="1"/>
  <c r="I8" i="1"/>
  <c r="D11" i="1"/>
  <c r="S5" i="1"/>
  <c r="L7" i="2"/>
  <c r="M6" i="1"/>
  <c r="F6" i="2"/>
  <c r="C11" i="1"/>
  <c r="K5" i="1"/>
  <c r="D7" i="1"/>
  <c r="H10" i="2"/>
  <c r="M9" i="1"/>
  <c r="R9" i="2"/>
  <c r="S13" i="2"/>
  <c r="D9" i="2"/>
  <c r="E6" i="1"/>
  <c r="M2" i="2"/>
  <c r="M15" i="2" s="1"/>
  <c r="E10" i="1"/>
  <c r="G12" i="1"/>
  <c r="N6" i="2"/>
  <c r="F7" i="2"/>
  <c r="P12" i="2"/>
  <c r="R6" i="2"/>
  <c r="O3" i="2"/>
  <c r="G4" i="2"/>
  <c r="Y11" i="1"/>
  <c r="Z7" i="1"/>
  <c r="Z11" i="1"/>
  <c r="O7" i="2"/>
  <c r="K2" i="2"/>
  <c r="K15" i="2" s="1"/>
  <c r="I7" i="2"/>
  <c r="Z3" i="2"/>
  <c r="K10" i="1"/>
  <c r="J3" i="2"/>
  <c r="N9" i="2"/>
  <c r="P10" i="2"/>
  <c r="S6" i="1"/>
  <c r="E5" i="1"/>
  <c r="H12" i="2"/>
  <c r="X5" i="2"/>
  <c r="Z10" i="2"/>
  <c r="L12" i="1"/>
  <c r="L10" i="2"/>
  <c r="U10" i="1"/>
  <c r="U3" i="2"/>
  <c r="Q5" i="2"/>
  <c r="H2" i="1"/>
  <c r="H15" i="1" s="1"/>
  <c r="V7" i="2"/>
  <c r="M10" i="2"/>
  <c r="R2" i="1"/>
  <c r="R15" i="1" s="1"/>
  <c r="I4" i="1"/>
  <c r="N13" i="1"/>
  <c r="E8" i="2"/>
  <c r="E12" i="1"/>
  <c r="Y7" i="2"/>
  <c r="W11" i="1"/>
  <c r="T5" i="1"/>
  <c r="O4" i="1"/>
  <c r="F10" i="2"/>
  <c r="I3" i="2"/>
  <c r="K7" i="1"/>
  <c r="Q2" i="2"/>
  <c r="Q15" i="2" s="1"/>
  <c r="X12" i="2"/>
  <c r="U13" i="1"/>
  <c r="R11" i="2"/>
  <c r="F7" i="1"/>
  <c r="D11" i="2"/>
  <c r="Y2" i="2"/>
  <c r="Y15" i="2" s="1"/>
  <c r="M4" i="2"/>
  <c r="V2" i="1"/>
  <c r="V15" i="1" s="1"/>
  <c r="P3" i="1"/>
  <c r="N8" i="2"/>
  <c r="I2" i="1"/>
  <c r="I15" i="1" s="1"/>
  <c r="C5" i="1"/>
  <c r="W5" i="2"/>
  <c r="V12" i="1"/>
  <c r="Y6" i="1"/>
  <c r="E3" i="2"/>
  <c r="Q8" i="2"/>
  <c r="K7" i="2"/>
  <c r="H11" i="2"/>
  <c r="O12" i="1"/>
  <c r="V10" i="2"/>
  <c r="N6" i="1"/>
  <c r="C8" i="1"/>
  <c r="N2" i="1"/>
  <c r="N15" i="1" s="1"/>
  <c r="P13" i="2"/>
  <c r="N8" i="1"/>
  <c r="J12" i="2"/>
  <c r="O8" i="1"/>
  <c r="T11" i="2"/>
  <c r="N3" i="1"/>
  <c r="E5" i="2"/>
  <c r="O3" i="1"/>
  <c r="H4" i="1"/>
  <c r="F9" i="2"/>
  <c r="F8" i="1"/>
  <c r="Y3" i="1"/>
  <c r="Q8" i="1"/>
  <c r="Z3" i="1"/>
  <c r="R4" i="1"/>
  <c r="C8" i="2"/>
  <c r="P2" i="1"/>
  <c r="P15" i="1" s="1"/>
  <c r="S5" i="2"/>
  <c r="M3" i="2"/>
  <c r="E8" i="1"/>
  <c r="I9" i="2"/>
  <c r="S12" i="2"/>
  <c r="M4" i="1"/>
  <c r="K9" i="2"/>
  <c r="N11" i="2"/>
  <c r="J5" i="2"/>
  <c r="S8" i="1"/>
  <c r="F9" i="1"/>
  <c r="C9" i="1"/>
  <c r="G9" i="1"/>
  <c r="Z12" i="2"/>
  <c r="L11" i="1"/>
  <c r="L12" i="2"/>
  <c r="W2" i="1"/>
  <c r="W15" i="1" s="1"/>
  <c r="U5" i="2"/>
  <c r="O5" i="1"/>
  <c r="P5" i="1"/>
  <c r="V9" i="2"/>
  <c r="U11" i="2"/>
  <c r="M10" i="1"/>
  <c r="H12" i="1"/>
  <c r="J9" i="2"/>
  <c r="F5" i="1"/>
  <c r="E11" i="1"/>
  <c r="Y9" i="2"/>
  <c r="K13" i="2"/>
  <c r="Y5" i="2"/>
  <c r="P4" i="1"/>
  <c r="F12" i="2"/>
  <c r="G7" i="1"/>
  <c r="K9" i="1"/>
  <c r="G11" i="1"/>
  <c r="H3" i="2"/>
  <c r="T10" i="1"/>
  <c r="R13" i="2"/>
  <c r="U4" i="1"/>
  <c r="D13" i="2"/>
  <c r="W4" i="1"/>
  <c r="M6" i="2"/>
  <c r="W6" i="1"/>
  <c r="P7" i="1"/>
  <c r="N10" i="2"/>
  <c r="D2" i="1"/>
  <c r="D15" i="1" s="1"/>
  <c r="M12" i="2"/>
  <c r="W4" i="2"/>
  <c r="O5" i="2"/>
  <c r="U6" i="2"/>
  <c r="Y8" i="2"/>
  <c r="Z2" i="2"/>
  <c r="Z15" i="2" s="1"/>
  <c r="L13" i="2"/>
  <c r="Q10" i="2"/>
  <c r="D5" i="1"/>
  <c r="N12" i="1"/>
  <c r="H9" i="1"/>
  <c r="V12" i="2"/>
  <c r="W13" i="1"/>
  <c r="C10" i="1"/>
  <c r="K11" i="2"/>
  <c r="U9" i="1"/>
  <c r="F4" i="1"/>
  <c r="X7" i="2"/>
  <c r="O13" i="1"/>
  <c r="T13" i="2"/>
  <c r="G8" i="1"/>
  <c r="E7" i="2"/>
  <c r="G10" i="1"/>
  <c r="H10" i="1"/>
  <c r="F11" i="2"/>
  <c r="V8" i="1"/>
  <c r="E7" i="1"/>
  <c r="K3" i="2"/>
  <c r="V6" i="2"/>
  <c r="M7" i="2"/>
  <c r="Q9" i="2"/>
  <c r="L11" i="2"/>
  <c r="J10" i="2"/>
  <c r="I11" i="2"/>
  <c r="M2" i="1"/>
  <c r="M15" i="1" s="1"/>
  <c r="O2" i="1"/>
  <c r="O15" i="1" s="1"/>
  <c r="X11" i="1"/>
  <c r="N13" i="2"/>
  <c r="S8" i="2"/>
  <c r="S10" i="1"/>
  <c r="X3" i="1"/>
  <c r="D6" i="1"/>
  <c r="V4" i="1"/>
  <c r="M8" i="1"/>
  <c r="P4" i="2"/>
  <c r="K2" i="1"/>
  <c r="K15" i="1" s="1"/>
  <c r="W12" i="1"/>
  <c r="U7" i="2"/>
  <c r="O11" i="1"/>
  <c r="J2" i="1"/>
  <c r="J15" i="1" s="1"/>
  <c r="V11" i="2"/>
  <c r="S13" i="1"/>
  <c r="X11" i="2"/>
  <c r="F6" i="1"/>
  <c r="W2" i="2"/>
  <c r="W15" i="2" s="1"/>
  <c r="I11" i="1"/>
  <c r="Y2" i="1"/>
  <c r="Y15" i="1" s="1"/>
  <c r="U7" i="1"/>
  <c r="G13" i="1"/>
  <c r="X10" i="1"/>
  <c r="Y6" i="2"/>
  <c r="H7" i="1"/>
  <c r="L13" i="1"/>
  <c r="Z9" i="2"/>
  <c r="R10" i="2"/>
  <c r="M5" i="1"/>
  <c r="I5" i="2"/>
  <c r="L4" i="1"/>
  <c r="P8" i="2"/>
  <c r="I8" i="2"/>
  <c r="K8" i="1"/>
  <c r="Y11" i="2"/>
  <c r="F13" i="1"/>
  <c r="O10" i="1"/>
  <c r="D4" i="2"/>
  <c r="S9" i="1"/>
  <c r="X5" i="1"/>
  <c r="K11" i="1"/>
  <c r="P8" i="1"/>
  <c r="H2" i="2"/>
  <c r="H15" i="2" s="1"/>
  <c r="N5" i="1"/>
  <c r="F3" i="1"/>
  <c r="E9" i="1"/>
  <c r="L2" i="1"/>
  <c r="L15" i="1" s="1"/>
  <c r="S3" i="2"/>
  <c r="M8" i="2"/>
  <c r="C3" i="2"/>
  <c r="Z2" i="1"/>
  <c r="Z15" i="1" s="1"/>
  <c r="N12" i="2"/>
  <c r="M13" i="1"/>
  <c r="Y3" i="2"/>
  <c r="G5" i="1"/>
  <c r="H5" i="2"/>
  <c r="D10" i="2"/>
  <c r="L2" i="2"/>
  <c r="L15" i="2" s="1"/>
  <c r="P2" i="2"/>
  <c r="P15" i="2" s="1"/>
  <c r="Q12" i="2"/>
  <c r="C6" i="2"/>
  <c r="S10" i="2"/>
  <c r="T6" i="2"/>
  <c r="L6" i="1"/>
  <c r="P10" i="1"/>
  <c r="C12" i="1"/>
  <c r="H11" i="1"/>
  <c r="X4" i="2"/>
  <c r="V6" i="1"/>
  <c r="W7" i="1"/>
  <c r="N10" i="1"/>
  <c r="T9" i="1"/>
  <c r="X2" i="1"/>
  <c r="X15" i="1" s="1"/>
  <c r="E9" i="2"/>
  <c r="X8" i="1"/>
  <c r="R3" i="1"/>
  <c r="F13" i="2"/>
  <c r="L10" i="1"/>
  <c r="I7" i="1"/>
  <c r="H7" i="2"/>
  <c r="O7" i="1"/>
  <c r="Q12" i="1"/>
  <c r="E2" i="2"/>
  <c r="E15" i="2" s="1"/>
  <c r="D12" i="1"/>
  <c r="F12" i="1"/>
  <c r="O6" i="2"/>
  <c r="Z9" i="1"/>
  <c r="X9" i="1"/>
  <c r="I6" i="1"/>
  <c r="P12" i="1"/>
  <c r="E4" i="2"/>
  <c r="Q7" i="1"/>
  <c r="V8" i="2"/>
  <c r="C6" i="1"/>
  <c r="X10" i="2"/>
  <c r="T9" i="2"/>
  <c r="I13" i="2"/>
  <c r="K4" i="1"/>
  <c r="X7" i="1"/>
  <c r="Q2" i="1"/>
  <c r="Q15" i="1" s="1"/>
  <c r="X9" i="2"/>
  <c r="L3" i="2"/>
  <c r="S12" i="1"/>
  <c r="T2" i="2"/>
  <c r="T15" i="2" s="1"/>
  <c r="P11" i="2"/>
  <c r="N7" i="1"/>
  <c r="T8" i="1"/>
  <c r="C4" i="2"/>
  <c r="Z5" i="2"/>
  <c r="X4" i="1"/>
  <c r="U9" i="2"/>
  <c r="L8" i="1"/>
  <c r="J4" i="1"/>
  <c r="V13" i="2"/>
</calcChain>
</file>

<file path=xl/sharedStrings.xml><?xml version="1.0" encoding="utf-8"?>
<sst xmlns="http://schemas.openxmlformats.org/spreadsheetml/2006/main" count="535" uniqueCount="126">
  <si>
    <t>位置</t>
  </si>
  <si>
    <t>裝備名稱</t>
  </si>
  <si>
    <t>炮術</t>
  </si>
  <si>
    <t>水平射擊</t>
  </si>
  <si>
    <t>速射</t>
  </si>
  <si>
    <t>貫穿</t>
  </si>
  <si>
    <t>彈道學</t>
  </si>
  <si>
    <t>水雷</t>
  </si>
  <si>
    <t>齊射</t>
  </si>
  <si>
    <t>修理</t>
  </si>
  <si>
    <t>掠奪</t>
  </si>
  <si>
    <t>迴避</t>
  </si>
  <si>
    <t>應急</t>
  </si>
  <si>
    <t>手術</t>
  </si>
  <si>
    <t>划船</t>
  </si>
  <si>
    <t>劍術</t>
  </si>
  <si>
    <t>突擊</t>
  </si>
  <si>
    <t>戰術</t>
  </si>
  <si>
    <t>射擊</t>
  </si>
  <si>
    <t>防禦</t>
  </si>
  <si>
    <t>識破</t>
  </si>
  <si>
    <t>猛擊</t>
  </si>
  <si>
    <t>迅捷</t>
  </si>
  <si>
    <t>接舷</t>
  </si>
  <si>
    <t>操舵</t>
  </si>
  <si>
    <t>搜尋</t>
  </si>
  <si>
    <t>飾品</t>
  </si>
  <si>
    <t>丁卡族戒指(質變)</t>
  </si>
  <si>
    <t>寶物</t>
  </si>
  <si>
    <t>軍神的護身符</t>
  </si>
  <si>
    <t>主武</t>
  </si>
  <si>
    <t>西班牙將軍權杖</t>
  </si>
  <si>
    <t>副武</t>
  </si>
  <si>
    <t>波斯單刃短劍</t>
  </si>
  <si>
    <t>頭盔</t>
  </si>
  <si>
    <t>阿爾維達的頭盔</t>
  </si>
  <si>
    <t>衣服</t>
  </si>
  <si>
    <t>海軍上將的胸甲</t>
  </si>
  <si>
    <t>手套</t>
  </si>
  <si>
    <t>司令官手套(質變)</t>
  </si>
  <si>
    <t>鞋子</t>
  </si>
  <si>
    <t>提督長筒靴(質變)</t>
  </si>
  <si>
    <t>職業</t>
  </si>
  <si>
    <t>大提督/海軍陸戰隊</t>
  </si>
  <si>
    <t>角色上限</t>
  </si>
  <si>
    <t>航海士</t>
  </si>
  <si>
    <t>加總</t>
  </si>
  <si>
    <t>製作者：鎮魂歌</t>
  </si>
  <si>
    <t>丁卡族戒指</t>
  </si>
  <si>
    <t>馬木魯克的弓</t>
  </si>
  <si>
    <t>司令官手套</t>
  </si>
  <si>
    <t>提督長筒靴</t>
  </si>
  <si>
    <t>漆黑手鐲</t>
  </si>
  <si>
    <t>漆黑手鐲(質變)</t>
  </si>
  <si>
    <t>土庫曼手鐲</t>
  </si>
  <si>
    <t>尼布龍根戒指(唯一)</t>
  </si>
  <si>
    <t>納加族的人面項鍊</t>
  </si>
  <si>
    <t>芒薩族的項鍊</t>
  </si>
  <si>
    <t>伊西絲的護符</t>
  </si>
  <si>
    <t>炮術家的手記</t>
  </si>
  <si>
    <t>黃金心臟</t>
  </si>
  <si>
    <t>猛將的印章</t>
  </si>
  <si>
    <t>九柱神之書</t>
  </si>
  <si>
    <t>海盜的成規</t>
  </si>
  <si>
    <t>溫庫隆庫魯雕像</t>
  </si>
  <si>
    <t>艦隊指揮官之劍</t>
  </si>
  <si>
    <t>神魔槍</t>
  </si>
  <si>
    <t>土耳其禁衛軍長槍</t>
  </si>
  <si>
    <t>聖劍</t>
  </si>
  <si>
    <t>精兵用土耳其彎刀</t>
  </si>
  <si>
    <t>大口徑短槍</t>
  </si>
  <si>
    <t>土耳其禁衛軍小刀</t>
  </si>
  <si>
    <t>奪魂劍</t>
  </si>
  <si>
    <t>漆黑的短劍</t>
  </si>
  <si>
    <t>楊蘇木染無簷帽</t>
  </si>
  <si>
    <t>黑太子頭盔</t>
  </si>
  <si>
    <t>章魚帽</t>
  </si>
  <si>
    <t>海盜獵手帽</t>
  </si>
  <si>
    <t>海盜王冠</t>
  </si>
  <si>
    <t>提督緊身衣</t>
  </si>
  <si>
    <t>提督緊身衣(質變)</t>
  </si>
  <si>
    <t>巴夏/寵姬</t>
  </si>
  <si>
    <t>海盜獵手大衣</t>
  </si>
  <si>
    <t>黑太子盔甲</t>
  </si>
  <si>
    <t>威廉/獅心</t>
  </si>
  <si>
    <t>亞歷山大帝鎧甲</t>
  </si>
  <si>
    <t>將官守護手套</t>
  </si>
  <si>
    <t>守護手套</t>
  </si>
  <si>
    <t>領袖手套</t>
  </si>
  <si>
    <t>將官長筒靴</t>
  </si>
  <si>
    <t>海盜獵手鞋</t>
  </si>
  <si>
    <t>海盜皮靴</t>
  </si>
  <si>
    <t>職業名稱</t>
  </si>
  <si>
    <t>高階指揮官</t>
  </si>
  <si>
    <t>大海盜</t>
  </si>
  <si>
    <t>海軍陸戰隊</t>
  </si>
  <si>
    <t>遊俠</t>
  </si>
  <si>
    <t>打撈者</t>
  </si>
  <si>
    <t>大海盜/海軍陸戰隊</t>
  </si>
  <si>
    <t>高階指揮/海軍陸戰</t>
  </si>
  <si>
    <t>大海盜/藥劑師/遊俠</t>
  </si>
  <si>
    <t>波斯單刃短劍</t>
    <phoneticPr fontId="8" type="noConversion"/>
  </si>
  <si>
    <r>
      <t>阿爾維達的頭盔</t>
    </r>
    <r>
      <rPr>
        <sz val="11"/>
        <color theme="1"/>
        <rFont val="Calibri"/>
        <family val="3"/>
        <charset val="136"/>
        <scheme val="minor"/>
      </rPr>
      <t>(</t>
    </r>
    <r>
      <rPr>
        <sz val="11"/>
        <color theme="1"/>
        <rFont val="Calibri"/>
        <family val="3"/>
        <charset val="136"/>
        <scheme val="minor"/>
      </rPr>
      <t>質變</t>
    </r>
    <r>
      <rPr>
        <sz val="11"/>
        <color theme="1"/>
        <rFont val="Calibri"/>
        <family val="3"/>
        <charset val="136"/>
        <scheme val="minor"/>
      </rPr>
      <t>)</t>
    </r>
    <phoneticPr fontId="8" type="noConversion"/>
  </si>
  <si>
    <t>黑太子頭盔(質變)</t>
    <phoneticPr fontId="8" type="noConversion"/>
  </si>
  <si>
    <r>
      <t>亞歷山大帝鎧甲</t>
    </r>
    <r>
      <rPr>
        <sz val="11"/>
        <color theme="1"/>
        <rFont val="Calibri"/>
        <scheme val="minor"/>
      </rPr>
      <t>(</t>
    </r>
    <r>
      <rPr>
        <sz val="11"/>
        <color theme="1"/>
        <rFont val="Calibri"/>
        <family val="3"/>
        <charset val="136"/>
        <scheme val="minor"/>
      </rPr>
      <t>質變</t>
    </r>
    <r>
      <rPr>
        <sz val="11"/>
        <color theme="1"/>
        <rFont val="Calibri"/>
        <scheme val="minor"/>
      </rPr>
      <t>)</t>
    </r>
    <phoneticPr fontId="8" type="noConversion"/>
  </si>
  <si>
    <t>黑太子盔甲(質變)</t>
    <phoneticPr fontId="8" type="noConversion"/>
  </si>
  <si>
    <r>
      <rPr>
        <sz val="11"/>
        <color theme="1"/>
        <rFont val="Calibri"/>
        <family val="3"/>
        <charset val="136"/>
        <scheme val="minor"/>
      </rPr>
      <t>將官守護手套</t>
    </r>
    <r>
      <rPr>
        <sz val="11"/>
        <color theme="1"/>
        <rFont val="Calibri"/>
        <scheme val="minor"/>
      </rPr>
      <t>(</t>
    </r>
    <r>
      <rPr>
        <sz val="11"/>
        <color theme="1"/>
        <rFont val="Calibri"/>
        <family val="3"/>
        <charset val="136"/>
        <scheme val="minor"/>
      </rPr>
      <t>質變</t>
    </r>
    <r>
      <rPr>
        <sz val="11"/>
        <color theme="1"/>
        <rFont val="Calibri"/>
        <scheme val="minor"/>
      </rPr>
      <t>)</t>
    </r>
    <phoneticPr fontId="8" type="noConversion"/>
  </si>
  <si>
    <r>
      <rPr>
        <sz val="11"/>
        <color theme="1"/>
        <rFont val="Calibri"/>
        <family val="3"/>
        <charset val="136"/>
        <scheme val="minor"/>
      </rPr>
      <t>海民之劍</t>
    </r>
    <r>
      <rPr>
        <sz val="11"/>
        <color theme="1"/>
        <rFont val="Calibri"/>
        <scheme val="minor"/>
      </rPr>
      <t>(</t>
    </r>
    <r>
      <rPr>
        <sz val="11"/>
        <color theme="1"/>
        <rFont val="Calibri"/>
        <family val="3"/>
        <charset val="136"/>
        <scheme val="minor"/>
      </rPr>
      <t>質變</t>
    </r>
    <r>
      <rPr>
        <sz val="11"/>
        <color theme="1"/>
        <rFont val="Calibri"/>
        <scheme val="minor"/>
      </rPr>
      <t>)</t>
    </r>
    <phoneticPr fontId="8" type="noConversion"/>
  </si>
  <si>
    <t>神魔槍(質變)</t>
    <phoneticPr fontId="8" type="noConversion"/>
  </si>
  <si>
    <r>
      <t>守護手套</t>
    </r>
    <r>
      <rPr>
        <sz val="11"/>
        <color theme="1"/>
        <rFont val="Calibri"/>
        <family val="3"/>
        <charset val="136"/>
        <scheme val="minor"/>
      </rPr>
      <t>(</t>
    </r>
    <r>
      <rPr>
        <sz val="11"/>
        <color theme="1"/>
        <rFont val="Calibri"/>
        <family val="3"/>
        <charset val="136"/>
        <scheme val="minor"/>
      </rPr>
      <t>質變</t>
    </r>
    <r>
      <rPr>
        <sz val="11"/>
        <color theme="1"/>
        <rFont val="Calibri"/>
        <family val="3"/>
        <charset val="136"/>
        <scheme val="minor"/>
      </rPr>
      <t>)</t>
    </r>
    <phoneticPr fontId="8" type="noConversion"/>
  </si>
  <si>
    <t>精英手套(質變)</t>
    <phoneticPr fontId="8" type="noConversion"/>
  </si>
  <si>
    <r>
      <rPr>
        <sz val="11"/>
        <color theme="1"/>
        <rFont val="Calibri"/>
        <family val="3"/>
        <charset val="136"/>
        <scheme val="minor"/>
      </rPr>
      <t>領袖戰靴</t>
    </r>
    <r>
      <rPr>
        <sz val="11"/>
        <color theme="1"/>
        <rFont val="Calibri"/>
        <scheme val="minor"/>
      </rPr>
      <t>(</t>
    </r>
    <r>
      <rPr>
        <sz val="11"/>
        <color theme="1"/>
        <rFont val="Calibri"/>
        <family val="3"/>
        <charset val="136"/>
        <scheme val="minor"/>
      </rPr>
      <t>質變</t>
    </r>
    <r>
      <rPr>
        <sz val="11"/>
        <color theme="1"/>
        <rFont val="Calibri"/>
        <scheme val="minor"/>
      </rPr>
      <t>)</t>
    </r>
    <phoneticPr fontId="8" type="noConversion"/>
  </si>
  <si>
    <t>主武</t>
    <phoneticPr fontId="8" type="noConversion"/>
  </si>
  <si>
    <t>巴爾蒙克(質變)</t>
    <phoneticPr fontId="8" type="noConversion"/>
  </si>
  <si>
    <r>
      <t>波斯單刃短劍</t>
    </r>
    <r>
      <rPr>
        <sz val="11"/>
        <color theme="1"/>
        <rFont val="Calibri"/>
        <family val="3"/>
        <charset val="136"/>
        <scheme val="minor"/>
      </rPr>
      <t>(</t>
    </r>
    <r>
      <rPr>
        <sz val="11"/>
        <color theme="1"/>
        <rFont val="Calibri"/>
        <family val="3"/>
        <charset val="136"/>
        <scheme val="minor"/>
      </rPr>
      <t>質變</t>
    </r>
    <r>
      <rPr>
        <sz val="11"/>
        <color theme="1"/>
        <rFont val="Calibri"/>
        <family val="3"/>
        <charset val="136"/>
        <scheme val="minor"/>
      </rPr>
      <t>)</t>
    </r>
    <phoneticPr fontId="8" type="noConversion"/>
  </si>
  <si>
    <t>漆黑的短劍(質變)</t>
    <phoneticPr fontId="8" type="noConversion"/>
  </si>
  <si>
    <r>
      <t>軍神的護身符</t>
    </r>
    <r>
      <rPr>
        <sz val="11"/>
        <color theme="1"/>
        <rFont val="Calibri"/>
        <family val="3"/>
        <charset val="136"/>
        <scheme val="minor"/>
      </rPr>
      <t>(</t>
    </r>
    <r>
      <rPr>
        <sz val="11"/>
        <color theme="1"/>
        <rFont val="Calibri"/>
        <family val="3"/>
        <charset val="136"/>
        <scheme val="minor"/>
      </rPr>
      <t>質變</t>
    </r>
    <r>
      <rPr>
        <sz val="11"/>
        <color theme="1"/>
        <rFont val="Calibri"/>
        <family val="3"/>
        <charset val="136"/>
        <scheme val="minor"/>
      </rPr>
      <t>)</t>
    </r>
    <phoneticPr fontId="8" type="noConversion"/>
  </si>
  <si>
    <t>猛將的印章(質變)</t>
    <phoneticPr fontId="8" type="noConversion"/>
  </si>
  <si>
    <r>
      <rPr>
        <sz val="11"/>
        <color theme="1"/>
        <rFont val="Calibri"/>
        <family val="3"/>
        <charset val="136"/>
        <scheme val="minor"/>
      </rPr>
      <t>丁卡族戒指</t>
    </r>
    <r>
      <rPr>
        <sz val="11"/>
        <color theme="1"/>
        <rFont val="Calibri"/>
        <scheme val="minor"/>
      </rPr>
      <t>(</t>
    </r>
    <r>
      <rPr>
        <sz val="11"/>
        <color theme="1"/>
        <rFont val="Calibri"/>
        <family val="3"/>
        <charset val="136"/>
        <scheme val="minor"/>
      </rPr>
      <t>質變</t>
    </r>
    <r>
      <rPr>
        <sz val="11"/>
        <color theme="1"/>
        <rFont val="Calibri"/>
        <scheme val="minor"/>
      </rPr>
      <t>)</t>
    </r>
    <phoneticPr fontId="8" type="noConversion"/>
  </si>
  <si>
    <t>海盜女王的項鍊</t>
    <phoneticPr fontId="8" type="noConversion"/>
  </si>
  <si>
    <t>海盜女王的項鍊(質變)</t>
    <phoneticPr fontId="8" type="noConversion"/>
  </si>
  <si>
    <r>
      <rPr>
        <sz val="11"/>
        <color theme="1"/>
        <rFont val="Calibri"/>
        <family val="3"/>
        <charset val="136"/>
        <scheme val="minor"/>
      </rPr>
      <t>大提督</t>
    </r>
    <r>
      <rPr>
        <sz val="11"/>
        <color theme="1"/>
        <rFont val="Calibri"/>
        <scheme val="minor"/>
      </rPr>
      <t>/</t>
    </r>
    <r>
      <rPr>
        <sz val="11"/>
        <color theme="1"/>
        <rFont val="Calibri"/>
        <family val="3"/>
        <charset val="136"/>
        <scheme val="minor"/>
      </rPr>
      <t>海軍陸戰隊</t>
    </r>
    <phoneticPr fontId="8" type="noConversion"/>
  </si>
  <si>
    <t>大提督</t>
    <phoneticPr fontId="8" type="noConversion"/>
  </si>
  <si>
    <r>
      <t>大提督</t>
    </r>
    <r>
      <rPr>
        <sz val="11"/>
        <color theme="1"/>
        <rFont val="Calibri"/>
        <family val="3"/>
        <charset val="136"/>
        <scheme val="minor"/>
      </rPr>
      <t>/</t>
    </r>
    <r>
      <rPr>
        <sz val="11"/>
        <color theme="1"/>
        <rFont val="Calibri"/>
        <family val="3"/>
        <charset val="136"/>
        <scheme val="minor"/>
      </rPr>
      <t>打撈者</t>
    </r>
    <phoneticPr fontId="8" type="noConversion"/>
  </si>
  <si>
    <r>
      <t>大提督</t>
    </r>
    <r>
      <rPr>
        <sz val="11"/>
        <color theme="1"/>
        <rFont val="Calibri"/>
        <scheme val="minor"/>
      </rPr>
      <t>/</t>
    </r>
    <r>
      <rPr>
        <sz val="11"/>
        <color theme="1"/>
        <rFont val="Calibri"/>
        <family val="3"/>
        <charset val="136"/>
        <scheme val="minor"/>
      </rPr>
      <t>打撈者</t>
    </r>
    <phoneticPr fontId="8" type="noConversion"/>
  </si>
  <si>
    <t>大提督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</si>
</sst>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;\-0;"/>
  </numFmts>
  <fonts count="10">
    <font>
      <sz val="11"/>
      <color theme="1"/>
      <name val="Calibri"/>
      <scheme val="minor"/>
    </font>
    <font>
      <b/>
      <sz val="14"/>
      <color theme="0"/>
      <name val="Microsoft JhengHei"/>
      <family val="2"/>
      <charset val="136"/>
    </font>
    <font>
      <sz val="14"/>
      <color theme="1"/>
      <name val="Microsoft JhengHei"/>
      <family val="2"/>
      <charset val="136"/>
    </font>
    <font>
      <b/>
      <sz val="14"/>
      <color theme="1"/>
      <name val="Microsoft JhengHei"/>
      <family val="2"/>
      <charset val="136"/>
    </font>
    <font>
      <sz val="11"/>
      <name val="Calibri"/>
    </font>
    <font>
      <sz val="11"/>
      <color theme="1"/>
      <name val="Microsoft JhengHei"/>
      <family val="2"/>
      <charset val="136"/>
    </font>
    <font>
      <sz val="11"/>
      <color theme="1"/>
      <name val="Calibri"/>
      <scheme val="minor"/>
    </font>
    <font>
      <sz val="12"/>
      <color rgb="FF9C6500"/>
      <name val="Calibri"/>
      <family val="2"/>
      <charset val="136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DCE4"/>
        <bgColor rgb="FFD6DCE4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EB9C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7" borderId="0" applyNumberFormat="0" applyBorder="0" applyAlignment="0" applyProtection="0">
      <alignment vertical="center"/>
    </xf>
  </cellStyleXfs>
  <cellXfs count="42">
    <xf numFmtId="0" fontId="0" fillId="0" borderId="0" xfId="0" applyFont="1" applyAlignment="1"/>
    <xf numFmtId="0" fontId="1" fillId="2" borderId="1" xfId="0" applyFont="1" applyFill="1" applyBorder="1"/>
    <xf numFmtId="0" fontId="1" fillId="2" borderId="2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0" borderId="0" xfId="0" applyFont="1"/>
    <xf numFmtId="0" fontId="3" fillId="3" borderId="5" xfId="0" applyFont="1" applyFill="1" applyBorder="1" applyAlignment="1">
      <alignment horizontal="center" vertical="top"/>
    </xf>
    <xf numFmtId="176" fontId="2" fillId="4" borderId="1" xfId="0" applyNumberFormat="1" applyFont="1" applyFill="1" applyBorder="1"/>
    <xf numFmtId="176" fontId="2" fillId="0" borderId="0" xfId="0" applyNumberFormat="1" applyFont="1"/>
    <xf numFmtId="176" fontId="2" fillId="4" borderId="6" xfId="0" applyNumberFormat="1" applyFont="1" applyFill="1" applyBorder="1"/>
    <xf numFmtId="176" fontId="2" fillId="0" borderId="7" xfId="0" applyNumberFormat="1" applyFont="1" applyBorder="1"/>
    <xf numFmtId="176" fontId="2" fillId="0" borderId="8" xfId="0" applyNumberFormat="1" applyFont="1" applyBorder="1"/>
    <xf numFmtId="0" fontId="3" fillId="3" borderId="9" xfId="0" applyFont="1" applyFill="1" applyBorder="1" applyAlignment="1">
      <alignment horizontal="center" vertical="top"/>
    </xf>
    <xf numFmtId="176" fontId="2" fillId="4" borderId="10" xfId="0" applyNumberFormat="1" applyFont="1" applyFill="1" applyBorder="1"/>
    <xf numFmtId="176" fontId="2" fillId="0" borderId="11" xfId="0" applyNumberFormat="1" applyFont="1" applyBorder="1"/>
    <xf numFmtId="176" fontId="2" fillId="4" borderId="12" xfId="0" applyNumberFormat="1" applyFont="1" applyFill="1" applyBorder="1"/>
    <xf numFmtId="176" fontId="2" fillId="0" borderId="13" xfId="0" applyNumberFormat="1" applyFont="1" applyBorder="1"/>
    <xf numFmtId="0" fontId="2" fillId="0" borderId="14" xfId="0" applyFont="1" applyBorder="1"/>
    <xf numFmtId="0" fontId="3" fillId="3" borderId="15" xfId="0" applyFont="1" applyFill="1" applyBorder="1" applyAlignment="1">
      <alignment horizontal="center" vertical="top"/>
    </xf>
    <xf numFmtId="176" fontId="2" fillId="0" borderId="16" xfId="0" applyNumberFormat="1" applyFont="1" applyBorder="1"/>
    <xf numFmtId="0" fontId="2" fillId="4" borderId="12" xfId="0" applyFont="1" applyFill="1" applyBorder="1"/>
    <xf numFmtId="0" fontId="2" fillId="4" borderId="1" xfId="0" applyFont="1" applyFill="1" applyBorder="1"/>
    <xf numFmtId="0" fontId="2" fillId="4" borderId="6" xfId="0" applyFont="1" applyFill="1" applyBorder="1"/>
    <xf numFmtId="0" fontId="2" fillId="0" borderId="16" xfId="0" applyFont="1" applyBorder="1"/>
    <xf numFmtId="176" fontId="3" fillId="5" borderId="19" xfId="0" applyNumberFormat="1" applyFont="1" applyFill="1" applyBorder="1"/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/>
    </xf>
    <xf numFmtId="0" fontId="3" fillId="3" borderId="5" xfId="0" applyFont="1" applyFill="1" applyBorder="1" applyAlignment="1">
      <alignment horizontal="center" vertical="top"/>
    </xf>
    <xf numFmtId="0" fontId="3" fillId="3" borderId="9" xfId="0" applyFont="1" applyFill="1" applyBorder="1" applyAlignment="1">
      <alignment horizontal="center" vertical="top"/>
    </xf>
    <xf numFmtId="0" fontId="3" fillId="3" borderId="15" xfId="0" applyFont="1" applyFill="1" applyBorder="1" applyAlignment="1">
      <alignment horizontal="center" vertical="top"/>
    </xf>
    <xf numFmtId="0" fontId="5" fillId="0" borderId="0" xfId="0" applyFont="1"/>
    <xf numFmtId="0" fontId="6" fillId="0" borderId="0" xfId="0" applyFont="1"/>
    <xf numFmtId="0" fontId="9" fillId="0" borderId="0" xfId="0" applyFont="1"/>
    <xf numFmtId="0" fontId="7" fillId="7" borderId="0" xfId="1" applyAlignment="1"/>
    <xf numFmtId="0" fontId="0" fillId="0" borderId="21" xfId="0" applyBorder="1"/>
    <xf numFmtId="0" fontId="3" fillId="0" borderId="7" xfId="0" applyFont="1" applyBorder="1" applyAlignment="1">
      <alignment horizontal="center"/>
    </xf>
    <xf numFmtId="0" fontId="4" fillId="0" borderId="14" xfId="0" applyFont="1" applyBorder="1"/>
    <xf numFmtId="0" fontId="4" fillId="0" borderId="8" xfId="0" applyFont="1" applyBorder="1"/>
    <xf numFmtId="0" fontId="3" fillId="5" borderId="17" xfId="0" applyFont="1" applyFill="1" applyBorder="1" applyAlignment="1">
      <alignment horizontal="center"/>
    </xf>
    <xf numFmtId="0" fontId="4" fillId="0" borderId="18" xfId="0" applyFont="1" applyBorder="1"/>
    <xf numFmtId="0" fontId="3" fillId="6" borderId="20" xfId="0" applyFont="1" applyFill="1" applyBorder="1" applyAlignment="1">
      <alignment horizontal="center"/>
    </xf>
    <xf numFmtId="0" fontId="4" fillId="0" borderId="21" xfId="0" applyFont="1" applyBorder="1"/>
  </cellXfs>
  <cellStyles count="2">
    <cellStyle name="一般" xfId="0" builtinId="0"/>
    <cellStyle name="中等" xfId="1" builtinId="28"/>
  </cellStyles>
  <dxfs count="2"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4140625" defaultRowHeight="15" customHeight="1"/>
  <cols>
    <col min="1" max="1" width="12.6640625" customWidth="1"/>
    <col min="2" max="2" width="27.33203125" customWidth="1"/>
    <col min="3" max="26" width="13.109375" customWidth="1"/>
  </cols>
  <sheetData>
    <row r="1" spans="1:26" ht="18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ht="18.75" customHeight="1">
      <c r="A2" s="5" t="s">
        <v>26</v>
      </c>
      <c r="B2" s="6" t="s">
        <v>27</v>
      </c>
      <c r="C2" s="7" t="e">
        <f t="array" aca="1" ref="C2" ca="1">XLOOKUP($B2, '資料源(請謹慎編輯)'!$B:$B, '資料源(請謹慎編輯)'!C:C, 0)</f>
        <v>#NAME?</v>
      </c>
      <c r="D2" s="8" t="e">
        <f t="array" aca="1" ref="D2" ca="1">XLOOKUP($B2, '資料源(請謹慎編輯)'!$B:$B, '資料源(請謹慎編輯)'!D:D, 0)</f>
        <v>#NAME?</v>
      </c>
      <c r="E2" s="7" t="e">
        <f t="array" aca="1" ref="E2" ca="1">XLOOKUP($B2, '資料源(請謹慎編輯)'!$B:$B, '資料源(請謹慎編輯)'!E:E, 0)</f>
        <v>#NAME?</v>
      </c>
      <c r="F2" s="8" t="e">
        <f t="array" aca="1" ref="F2" ca="1">XLOOKUP($B2, '資料源(請謹慎編輯)'!$B:$B, '資料源(請謹慎編輯)'!F:F, 0)</f>
        <v>#NAME?</v>
      </c>
      <c r="G2" s="7" t="e">
        <f t="array" aca="1" ref="G2" ca="1">XLOOKUP($B2, '資料源(請謹慎編輯)'!$B:$B, '資料源(請謹慎編輯)'!G:G, 0)</f>
        <v>#NAME?</v>
      </c>
      <c r="H2" s="8" t="e">
        <f t="array" aca="1" ref="H2" ca="1">XLOOKUP($B2, '資料源(請謹慎編輯)'!$B:$B, '資料源(請謹慎編輯)'!H:H, 0)</f>
        <v>#NAME?</v>
      </c>
      <c r="I2" s="7" t="e">
        <f t="array" aca="1" ref="I2" ca="1">XLOOKUP($B2, '資料源(請謹慎編輯)'!$B:$B, '資料源(請謹慎編輯)'!I:I, 0)</f>
        <v>#NAME?</v>
      </c>
      <c r="J2" s="8" t="e">
        <f t="array" aca="1" ref="J2" ca="1">XLOOKUP($B2, '資料源(請謹慎編輯)'!$B:$B, '資料源(請謹慎編輯)'!J:J, 0)</f>
        <v>#NAME?</v>
      </c>
      <c r="K2" s="7" t="e">
        <f t="array" aca="1" ref="K2" ca="1">XLOOKUP($B2, '資料源(請謹慎編輯)'!$B:$B, '資料源(請謹慎編輯)'!K:K, 0)</f>
        <v>#NAME?</v>
      </c>
      <c r="L2" s="8" t="e">
        <f t="array" aca="1" ref="L2" ca="1">XLOOKUP($B2, '資料源(請謹慎編輯)'!$B:$B, '資料源(請謹慎編輯)'!L:L, 0)</f>
        <v>#NAME?</v>
      </c>
      <c r="M2" s="9" t="e">
        <f t="array" aca="1" ref="M2" ca="1">XLOOKUP($B2, '資料源(請謹慎編輯)'!$B:$B, '資料源(請謹慎編輯)'!M:M, 0)</f>
        <v>#NAME?</v>
      </c>
      <c r="N2" s="10" t="e">
        <f t="array" aca="1" ref="N2" ca="1">XLOOKUP($B2, '資料源(請謹慎編輯)'!$B:$B, '資料源(請謹慎編輯)'!N:N, 0)</f>
        <v>#NAME?</v>
      </c>
      <c r="O2" s="9" t="e">
        <f t="array" aca="1" ref="O2" ca="1">XLOOKUP($B2, '資料源(請謹慎編輯)'!$B:$B, '資料源(請謹慎編輯)'!O:O, 0)</f>
        <v>#NAME?</v>
      </c>
      <c r="P2" s="10" t="e">
        <f t="array" aca="1" ref="P2" ca="1">XLOOKUP($B2, '資料源(請謹慎編輯)'!$B:$B, '資料源(請謹慎編輯)'!P:P, 0)</f>
        <v>#NAME?</v>
      </c>
      <c r="Q2" s="9" t="e">
        <f t="array" aca="1" ref="Q2" ca="1">XLOOKUP($B2, '資料源(請謹慎編輯)'!$B:$B, '資料源(請謹慎編輯)'!Q:Q, 0)</f>
        <v>#NAME?</v>
      </c>
      <c r="R2" s="10" t="e">
        <f t="array" aca="1" ref="R2" ca="1">XLOOKUP($B2, '資料源(請謹慎編輯)'!$B:$B, '資料源(請謹慎編輯)'!R:R, 0)</f>
        <v>#NAME?</v>
      </c>
      <c r="S2" s="9" t="e">
        <f t="array" aca="1" ref="S2" ca="1">XLOOKUP($B2, '資料源(請謹慎編輯)'!$B:$B, '資料源(請謹慎編輯)'!S:S, 0)</f>
        <v>#NAME?</v>
      </c>
      <c r="T2" s="10" t="e">
        <f t="array" aca="1" ref="T2" ca="1">XLOOKUP($B2, '資料源(請謹慎編輯)'!$B:$B, '資料源(請謹慎編輯)'!T:T, 0)</f>
        <v>#NAME?</v>
      </c>
      <c r="U2" s="9" t="e">
        <f t="array" aca="1" ref="U2" ca="1">XLOOKUP($B2, '資料源(請謹慎編輯)'!$B:$B, '資料源(請謹慎編輯)'!U:U, 0)</f>
        <v>#NAME?</v>
      </c>
      <c r="V2" s="10" t="e">
        <f t="array" aca="1" ref="V2" ca="1">XLOOKUP($B2, '資料源(請謹慎編輯)'!$B:$B, '資料源(請謹慎編輯)'!V:V, 0)</f>
        <v>#NAME?</v>
      </c>
      <c r="W2" s="9" t="e">
        <f t="array" aca="1" ref="W2" ca="1">XLOOKUP($B2, '資料源(請謹慎編輯)'!$B:$B, '資料源(請謹慎編輯)'!W:W, 0)</f>
        <v>#NAME?</v>
      </c>
      <c r="X2" s="10" t="e">
        <f t="array" aca="1" ref="X2" ca="1">XLOOKUP($B2, '資料源(請謹慎編輯)'!$B:$B, '資料源(請謹慎編輯)'!X:X, 0)</f>
        <v>#NAME?</v>
      </c>
      <c r="Y2" s="9" t="e">
        <f t="array" aca="1" ref="Y2" ca="1">XLOOKUP($B2, '資料源(請謹慎編輯)'!$B:$B, '資料源(請謹慎編輯)'!Y:Y, 0)</f>
        <v>#NAME?</v>
      </c>
      <c r="Z2" s="11" t="e">
        <f t="array" aca="1" ref="Z2" ca="1">XLOOKUP($B2, '資料源(請謹慎編輯)'!$B:$B, '資料源(請謹慎編輯)'!Z:Z, 0)</f>
        <v>#NAME?</v>
      </c>
    </row>
    <row r="3" spans="1:26" ht="18.75" customHeight="1">
      <c r="A3" s="5" t="s">
        <v>26</v>
      </c>
      <c r="B3" s="12" t="s">
        <v>27</v>
      </c>
      <c r="C3" s="13" t="e">
        <f t="array" aca="1" ref="C3" ca="1">XLOOKUP($B3, '資料源(請謹慎編輯)'!$B:$B, '資料源(請謹慎編輯)'!C:C, 0)</f>
        <v>#NAME?</v>
      </c>
      <c r="D3" s="14" t="e">
        <f t="array" aca="1" ref="D3" ca="1">XLOOKUP($B3, '資料源(請謹慎編輯)'!$B:$B, '資料源(請謹慎編輯)'!D:D, 0)</f>
        <v>#NAME?</v>
      </c>
      <c r="E3" s="13" t="e">
        <f t="array" aca="1" ref="E3" ca="1">XLOOKUP($B3, '資料源(請謹慎編輯)'!$B:$B, '資料源(請謹慎編輯)'!E:E, 0)</f>
        <v>#NAME?</v>
      </c>
      <c r="F3" s="14" t="e">
        <f t="array" aca="1" ref="F3" ca="1">XLOOKUP($B3, '資料源(請謹慎編輯)'!$B:$B, '資料源(請謹慎編輯)'!F:F, 0)</f>
        <v>#NAME?</v>
      </c>
      <c r="G3" s="13" t="e">
        <f t="array" aca="1" ref="G3" ca="1">XLOOKUP($B3, '資料源(請謹慎編輯)'!$B:$B, '資料源(請謹慎編輯)'!G:G, 0)</f>
        <v>#NAME?</v>
      </c>
      <c r="H3" s="14" t="e">
        <f t="array" aca="1" ref="H3" ca="1">XLOOKUP($B3, '資料源(請謹慎編輯)'!$B:$B, '資料源(請謹慎編輯)'!H:H, 0)</f>
        <v>#NAME?</v>
      </c>
      <c r="I3" s="13" t="e">
        <f t="array" aca="1" ref="I3" ca="1">XLOOKUP($B3, '資料源(請謹慎編輯)'!$B:$B, '資料源(請謹慎編輯)'!I:I, 0)</f>
        <v>#NAME?</v>
      </c>
      <c r="J3" s="14" t="e">
        <f t="array" aca="1" ref="J3" ca="1">XLOOKUP($B3, '資料源(請謹慎編輯)'!$B:$B, '資料源(請謹慎編輯)'!J:J, 0)</f>
        <v>#NAME?</v>
      </c>
      <c r="K3" s="13" t="e">
        <f t="array" aca="1" ref="K3" ca="1">XLOOKUP($B3, '資料源(請謹慎編輯)'!$B:$B, '資料源(請謹慎編輯)'!K:K, 0)</f>
        <v>#NAME?</v>
      </c>
      <c r="L3" s="14" t="e">
        <f t="array" aca="1" ref="L3" ca="1">XLOOKUP($B3, '資料源(請謹慎編輯)'!$B:$B, '資料源(請謹慎編輯)'!L:L, 0)</f>
        <v>#NAME?</v>
      </c>
      <c r="M3" s="13" t="e">
        <f t="array" aca="1" ref="M3" ca="1">XLOOKUP($B3, '資料源(請謹慎編輯)'!$B:$B, '資料源(請謹慎編輯)'!M:M, 0)</f>
        <v>#NAME?</v>
      </c>
      <c r="N3" s="14" t="e">
        <f t="array" aca="1" ref="N3" ca="1">XLOOKUP($B3, '資料源(請謹慎編輯)'!$B:$B, '資料源(請謹慎編輯)'!N:N, 0)</f>
        <v>#NAME?</v>
      </c>
      <c r="O3" s="15" t="e">
        <f t="array" aca="1" ref="O3" ca="1">XLOOKUP($B3, '資料源(請謹慎編輯)'!$B:$B, '資料源(請謹慎編輯)'!O:O, 0)</f>
        <v>#NAME?</v>
      </c>
      <c r="P3" s="10" t="e">
        <f t="array" aca="1" ref="P3" ca="1">XLOOKUP($B3, '資料源(請謹慎編輯)'!$B:$B, '資料源(請謹慎編輯)'!P:P, 0)</f>
        <v>#NAME?</v>
      </c>
      <c r="Q3" s="9" t="e">
        <f t="array" aca="1" ref="Q3" ca="1">XLOOKUP($B3, '資料源(請謹慎編輯)'!$B:$B, '資料源(請謹慎編輯)'!Q:Q, 0)</f>
        <v>#NAME?</v>
      </c>
      <c r="R3" s="10" t="e">
        <f t="array" aca="1" ref="R3" ca="1">XLOOKUP($B3, '資料源(請謹慎編輯)'!$B:$B, '資料源(請謹慎編輯)'!R:R, 0)</f>
        <v>#NAME?</v>
      </c>
      <c r="S3" s="9" t="e">
        <f t="array" aca="1" ref="S3" ca="1">XLOOKUP($B3, '資料源(請謹慎編輯)'!$B:$B, '資料源(請謹慎編輯)'!S:S, 0)</f>
        <v>#NAME?</v>
      </c>
      <c r="T3" s="10" t="e">
        <f t="array" aca="1" ref="T3" ca="1">XLOOKUP($B3, '資料源(請謹慎編輯)'!$B:$B, '資料源(請謹慎編輯)'!T:T, 0)</f>
        <v>#NAME?</v>
      </c>
      <c r="U3" s="9" t="e">
        <f t="array" aca="1" ref="U3" ca="1">XLOOKUP($B3, '資料源(請謹慎編輯)'!$B:$B, '資料源(請謹慎編輯)'!U:U, 0)</f>
        <v>#NAME?</v>
      </c>
      <c r="V3" s="10" t="e">
        <f t="array" aca="1" ref="V3" ca="1">XLOOKUP($B3, '資料源(請謹慎編輯)'!$B:$B, '資料源(請謹慎編輯)'!V:V, 0)</f>
        <v>#NAME?</v>
      </c>
      <c r="W3" s="9" t="e">
        <f t="array" aca="1" ref="W3" ca="1">XLOOKUP($B3, '資料源(請謹慎編輯)'!$B:$B, '資料源(請謹慎編輯)'!W:W, 0)</f>
        <v>#NAME?</v>
      </c>
      <c r="X3" s="10" t="e">
        <f t="array" aca="1" ref="X3" ca="1">XLOOKUP($B3, '資料源(請謹慎編輯)'!$B:$B, '資料源(請謹慎編輯)'!X:X, 0)</f>
        <v>#NAME?</v>
      </c>
      <c r="Y3" s="9" t="e">
        <f t="array" aca="1" ref="Y3" ca="1">XLOOKUP($B3, '資料源(請謹慎編輯)'!$B:$B, '資料源(請謹慎編輯)'!Y:Y, 0)</f>
        <v>#NAME?</v>
      </c>
      <c r="Z3" s="11" t="e">
        <f t="array" aca="1" ref="Z3" ca="1">XLOOKUP($B3, '資料源(請謹慎編輯)'!$B:$B, '資料源(請謹慎編輯)'!Z:Z, 0)</f>
        <v>#NAME?</v>
      </c>
    </row>
    <row r="4" spans="1:26" ht="18.75" customHeight="1">
      <c r="A4" s="5" t="s">
        <v>28</v>
      </c>
      <c r="B4" s="12" t="s">
        <v>29</v>
      </c>
      <c r="C4" s="13" t="e">
        <f t="array" aca="1" ref="C4" ca="1">XLOOKUP($B4, '資料源(請謹慎編輯)'!$B:$B, '資料源(請謹慎編輯)'!C:C, 0)</f>
        <v>#NAME?</v>
      </c>
      <c r="D4" s="14" t="e">
        <f t="array" aca="1" ref="D4" ca="1">XLOOKUP($B4, '資料源(請謹慎編輯)'!$B:$B, '資料源(請謹慎編輯)'!D:D, 0)</f>
        <v>#NAME?</v>
      </c>
      <c r="E4" s="13" t="e">
        <f t="array" aca="1" ref="E4" ca="1">XLOOKUP($B4, '資料源(請謹慎編輯)'!$B:$B, '資料源(請謹慎編輯)'!E:E, 0)</f>
        <v>#NAME?</v>
      </c>
      <c r="F4" s="14" t="e">
        <f t="array" aca="1" ref="F4" ca="1">XLOOKUP($B4, '資料源(請謹慎編輯)'!$B:$B, '資料源(請謹慎編輯)'!F:F, 0)</f>
        <v>#NAME?</v>
      </c>
      <c r="G4" s="13" t="e">
        <f t="array" aca="1" ref="G4" ca="1">XLOOKUP($B4, '資料源(請謹慎編輯)'!$B:$B, '資料源(請謹慎編輯)'!G:G, 0)</f>
        <v>#NAME?</v>
      </c>
      <c r="H4" s="14" t="e">
        <f t="array" aca="1" ref="H4" ca="1">XLOOKUP($B4, '資料源(請謹慎編輯)'!$B:$B, '資料源(請謹慎編輯)'!H:H, 0)</f>
        <v>#NAME?</v>
      </c>
      <c r="I4" s="13" t="e">
        <f t="array" aca="1" ref="I4" ca="1">XLOOKUP($B4, '資料源(請謹慎編輯)'!$B:$B, '資料源(請謹慎編輯)'!I:I, 0)</f>
        <v>#NAME?</v>
      </c>
      <c r="J4" s="14" t="e">
        <f t="array" aca="1" ref="J4" ca="1">XLOOKUP($B4, '資料源(請謹慎編輯)'!$B:$B, '資料源(請謹慎編輯)'!J:J, 0)</f>
        <v>#NAME?</v>
      </c>
      <c r="K4" s="13" t="e">
        <f t="array" aca="1" ref="K4" ca="1">XLOOKUP($B4, '資料源(請謹慎編輯)'!$B:$B, '資料源(請謹慎編輯)'!K:K, 0)</f>
        <v>#NAME?</v>
      </c>
      <c r="L4" s="14" t="e">
        <f t="array" aca="1" ref="L4" ca="1">XLOOKUP($B4, '資料源(請謹慎編輯)'!$B:$B, '資料源(請謹慎編輯)'!L:L, 0)</f>
        <v>#NAME?</v>
      </c>
      <c r="M4" s="13" t="e">
        <f t="array" aca="1" ref="M4" ca="1">XLOOKUP($B4, '資料源(請謹慎編輯)'!$B:$B, '資料源(請謹慎編輯)'!M:M, 0)</f>
        <v>#NAME?</v>
      </c>
      <c r="N4" s="14" t="e">
        <f t="array" aca="1" ref="N4" ca="1">XLOOKUP($B4, '資料源(請謹慎編輯)'!$B:$B, '資料源(請謹慎編輯)'!N:N, 0)</f>
        <v>#NAME?</v>
      </c>
      <c r="O4" s="9" t="e">
        <f t="array" aca="1" ref="O4" ca="1">XLOOKUP($B4, '資料源(請謹慎編輯)'!$B:$B, '資料源(請謹慎編輯)'!O:O, 0)</f>
        <v>#NAME?</v>
      </c>
      <c r="P4" s="10" t="e">
        <f t="array" aca="1" ref="P4" ca="1">XLOOKUP($B4, '資料源(請謹慎編輯)'!$B:$B, '資料源(請謹慎編輯)'!P:P, 0)</f>
        <v>#NAME?</v>
      </c>
      <c r="Q4" s="9" t="e">
        <f t="array" aca="1" ref="Q4" ca="1">XLOOKUP($B4, '資料源(請謹慎編輯)'!$B:$B, '資料源(請謹慎編輯)'!Q:Q, 0)</f>
        <v>#NAME?</v>
      </c>
      <c r="R4" s="10" t="e">
        <f t="array" aca="1" ref="R4" ca="1">XLOOKUP($B4, '資料源(請謹慎編輯)'!$B:$B, '資料源(請謹慎編輯)'!R:R, 0)</f>
        <v>#NAME?</v>
      </c>
      <c r="S4" s="9" t="e">
        <f t="array" aca="1" ref="S4" ca="1">XLOOKUP($B4, '資料源(請謹慎編輯)'!$B:$B, '資料源(請謹慎編輯)'!S:S, 0)</f>
        <v>#NAME?</v>
      </c>
      <c r="T4" s="10" t="e">
        <f t="array" aca="1" ref="T4" ca="1">XLOOKUP($B4, '資料源(請謹慎編輯)'!$B:$B, '資料源(請謹慎編輯)'!T:T, 0)</f>
        <v>#NAME?</v>
      </c>
      <c r="U4" s="9" t="e">
        <f t="array" aca="1" ref="U4" ca="1">XLOOKUP($B4, '資料源(請謹慎編輯)'!$B:$B, '資料源(請謹慎編輯)'!U:U, 0)</f>
        <v>#NAME?</v>
      </c>
      <c r="V4" s="10" t="e">
        <f t="array" aca="1" ref="V4" ca="1">XLOOKUP($B4, '資料源(請謹慎編輯)'!$B:$B, '資料源(請謹慎編輯)'!V:V, 0)</f>
        <v>#NAME?</v>
      </c>
      <c r="W4" s="9" t="e">
        <f t="array" aca="1" ref="W4" ca="1">XLOOKUP($B4, '資料源(請謹慎編輯)'!$B:$B, '資料源(請謹慎編輯)'!W:W, 0)</f>
        <v>#NAME?</v>
      </c>
      <c r="X4" s="10" t="e">
        <f t="array" aca="1" ref="X4" ca="1">XLOOKUP($B4, '資料源(請謹慎編輯)'!$B:$B, '資料源(請謹慎編輯)'!X:X, 0)</f>
        <v>#NAME?</v>
      </c>
      <c r="Y4" s="9" t="e">
        <f t="array" aca="1" ref="Y4" ca="1">XLOOKUP($B4, '資料源(請謹慎編輯)'!$B:$B, '資料源(請謹慎編輯)'!Y:Y, 0)</f>
        <v>#NAME?</v>
      </c>
      <c r="Z4" s="11" t="e">
        <f t="array" aca="1" ref="Z4" ca="1">XLOOKUP($B4, '資料源(請謹慎編輯)'!$B:$B, '資料源(請謹慎編輯)'!Z:Z, 0)</f>
        <v>#NAME?</v>
      </c>
    </row>
    <row r="5" spans="1:26" ht="18.75" customHeight="1">
      <c r="A5" s="5" t="s">
        <v>28</v>
      </c>
      <c r="B5" s="12" t="s">
        <v>29</v>
      </c>
      <c r="C5" s="13" t="e">
        <f t="array" aca="1" ref="C5" ca="1">XLOOKUP($B5, '資料源(請謹慎編輯)'!$B:$B, '資料源(請謹慎編輯)'!C:C, 0)</f>
        <v>#NAME?</v>
      </c>
      <c r="D5" s="14" t="e">
        <f t="array" aca="1" ref="D5" ca="1">XLOOKUP($B5, '資料源(請謹慎編輯)'!$B:$B, '資料源(請謹慎編輯)'!D:D, 0)</f>
        <v>#NAME?</v>
      </c>
      <c r="E5" s="13" t="e">
        <f t="array" aca="1" ref="E5" ca="1">XLOOKUP($B5, '資料源(請謹慎編輯)'!$B:$B, '資料源(請謹慎編輯)'!E:E, 0)</f>
        <v>#NAME?</v>
      </c>
      <c r="F5" s="14" t="e">
        <f t="array" aca="1" ref="F5" ca="1">XLOOKUP($B5, '資料源(請謹慎編輯)'!$B:$B, '資料源(請謹慎編輯)'!F:F, 0)</f>
        <v>#NAME?</v>
      </c>
      <c r="G5" s="13" t="e">
        <f t="array" aca="1" ref="G5" ca="1">XLOOKUP($B5, '資料源(請謹慎編輯)'!$B:$B, '資料源(請謹慎編輯)'!G:G, 0)</f>
        <v>#NAME?</v>
      </c>
      <c r="H5" s="14" t="e">
        <f t="array" aca="1" ref="H5" ca="1">XLOOKUP($B5, '資料源(請謹慎編輯)'!$B:$B, '資料源(請謹慎編輯)'!H:H, 0)</f>
        <v>#NAME?</v>
      </c>
      <c r="I5" s="13" t="e">
        <f t="array" aca="1" ref="I5" ca="1">XLOOKUP($B5, '資料源(請謹慎編輯)'!$B:$B, '資料源(請謹慎編輯)'!I:I, 0)</f>
        <v>#NAME?</v>
      </c>
      <c r="J5" s="14" t="e">
        <f t="array" aca="1" ref="J5" ca="1">XLOOKUP($B5, '資料源(請謹慎編輯)'!$B:$B, '資料源(請謹慎編輯)'!J:J, 0)</f>
        <v>#NAME?</v>
      </c>
      <c r="K5" s="13" t="e">
        <f t="array" aca="1" ref="K5" ca="1">XLOOKUP($B5, '資料源(請謹慎編輯)'!$B:$B, '資料源(請謹慎編輯)'!K:K, 0)</f>
        <v>#NAME?</v>
      </c>
      <c r="L5" s="14" t="e">
        <f t="array" aca="1" ref="L5" ca="1">XLOOKUP($B5, '資料源(請謹慎編輯)'!$B:$B, '資料源(請謹慎編輯)'!L:L, 0)</f>
        <v>#NAME?</v>
      </c>
      <c r="M5" s="13" t="e">
        <f t="array" aca="1" ref="M5" ca="1">XLOOKUP($B5, '資料源(請謹慎編輯)'!$B:$B, '資料源(請謹慎編輯)'!M:M, 0)</f>
        <v>#NAME?</v>
      </c>
      <c r="N5" s="16" t="e">
        <f t="array" aca="1" ref="N5" ca="1">XLOOKUP($B5, '資料源(請謹慎編輯)'!$B:$B, '資料源(請謹慎編輯)'!N:N, 0)</f>
        <v>#NAME?</v>
      </c>
      <c r="O5" s="9" t="e">
        <f t="array" aca="1" ref="O5" ca="1">XLOOKUP($B5, '資料源(請謹慎編輯)'!$B:$B, '資料源(請謹慎編輯)'!O:O, 0)</f>
        <v>#NAME?</v>
      </c>
      <c r="P5" s="10" t="e">
        <f t="array" aca="1" ref="P5" ca="1">XLOOKUP($B5, '資料源(請謹慎編輯)'!$B:$B, '資料源(請謹慎編輯)'!P:P, 0)</f>
        <v>#NAME?</v>
      </c>
      <c r="Q5" s="9" t="e">
        <f t="array" aca="1" ref="Q5" ca="1">XLOOKUP($B5, '資料源(請謹慎編輯)'!$B:$B, '資料源(請謹慎編輯)'!Q:Q, 0)</f>
        <v>#NAME?</v>
      </c>
      <c r="R5" s="10" t="e">
        <f t="array" aca="1" ref="R5" ca="1">XLOOKUP($B5, '資料源(請謹慎編輯)'!$B:$B, '資料源(請謹慎編輯)'!R:R, 0)</f>
        <v>#NAME?</v>
      </c>
      <c r="S5" s="9" t="e">
        <f t="array" aca="1" ref="S5" ca="1">XLOOKUP($B5, '資料源(請謹慎編輯)'!$B:$B, '資料源(請謹慎編輯)'!S:S, 0)</f>
        <v>#NAME?</v>
      </c>
      <c r="T5" s="10" t="e">
        <f t="array" aca="1" ref="T5" ca="1">XLOOKUP($B5, '資料源(請謹慎編輯)'!$B:$B, '資料源(請謹慎編輯)'!T:T, 0)</f>
        <v>#NAME?</v>
      </c>
      <c r="U5" s="9" t="e">
        <f t="array" aca="1" ref="U5" ca="1">XLOOKUP($B5, '資料源(請謹慎編輯)'!$B:$B, '資料源(請謹慎編輯)'!U:U, 0)</f>
        <v>#NAME?</v>
      </c>
      <c r="V5" s="10" t="e">
        <f t="array" aca="1" ref="V5" ca="1">XLOOKUP($B5, '資料源(請謹慎編輯)'!$B:$B, '資料源(請謹慎編輯)'!V:V, 0)</f>
        <v>#NAME?</v>
      </c>
      <c r="W5" s="9" t="e">
        <f t="array" aca="1" ref="W5" ca="1">XLOOKUP($B5, '資料源(請謹慎編輯)'!$B:$B, '資料源(請謹慎編輯)'!W:W, 0)</f>
        <v>#NAME?</v>
      </c>
      <c r="X5" s="10" t="e">
        <f t="array" aca="1" ref="X5" ca="1">XLOOKUP($B5, '資料源(請謹慎編輯)'!$B:$B, '資料源(請謹慎編輯)'!X:X, 0)</f>
        <v>#NAME?</v>
      </c>
      <c r="Y5" s="9" t="e">
        <f t="array" aca="1" ref="Y5" ca="1">XLOOKUP($B5, '資料源(請謹慎編輯)'!$B:$B, '資料源(請謹慎編輯)'!Y:Y, 0)</f>
        <v>#NAME?</v>
      </c>
      <c r="Z5" s="11" t="e">
        <f t="array" aca="1" ref="Z5" ca="1">XLOOKUP($B5, '資料源(請謹慎編輯)'!$B:$B, '資料源(請謹慎編輯)'!Z:Z, 0)</f>
        <v>#NAME?</v>
      </c>
    </row>
    <row r="6" spans="1:26" ht="18.75" customHeight="1">
      <c r="A6" s="5" t="s">
        <v>30</v>
      </c>
      <c r="B6" s="12" t="s">
        <v>31</v>
      </c>
      <c r="C6" s="15" t="e">
        <f t="array" aca="1" ref="C6" ca="1">XLOOKUP($B6, '資料源(請謹慎編輯)'!$B:$B, '資料源(請謹慎編輯)'!C:C, 0)</f>
        <v>#NAME?</v>
      </c>
      <c r="D6" s="16" t="e">
        <f t="array" aca="1" ref="D6" ca="1">XLOOKUP($B6, '資料源(請謹慎編輯)'!$B:$B, '資料源(請謹慎編輯)'!D:D, 0)</f>
        <v>#NAME?</v>
      </c>
      <c r="E6" s="15" t="e">
        <f t="array" aca="1" ref="E6" ca="1">XLOOKUP($B6, '資料源(請謹慎編輯)'!$B:$B, '資料源(請謹慎編輯)'!E:E, 0)</f>
        <v>#NAME?</v>
      </c>
      <c r="F6" s="16" t="e">
        <f t="array" aca="1" ref="F6" ca="1">XLOOKUP($B6, '資料源(請謹慎編輯)'!$B:$B, '資料源(請謹慎編輯)'!F:F, 0)</f>
        <v>#NAME?</v>
      </c>
      <c r="G6" s="15" t="e">
        <f t="array" aca="1" ref="G6" ca="1">XLOOKUP($B6, '資料源(請謹慎編輯)'!$B:$B, '資料源(請謹慎編輯)'!G:G, 0)</f>
        <v>#NAME?</v>
      </c>
      <c r="H6" s="16" t="e">
        <f t="array" aca="1" ref="H6" ca="1">XLOOKUP($B6, '資料源(請謹慎編輯)'!$B:$B, '資料源(請謹慎編輯)'!H:H, 0)</f>
        <v>#NAME?</v>
      </c>
      <c r="I6" s="15" t="e">
        <f t="array" aca="1" ref="I6" ca="1">XLOOKUP($B6, '資料源(請謹慎編輯)'!$B:$B, '資料源(請謹慎編輯)'!I:I, 0)</f>
        <v>#NAME?</v>
      </c>
      <c r="J6" s="16" t="e">
        <f t="array" aca="1" ref="J6" ca="1">XLOOKUP($B6, '資料源(請謹慎編輯)'!$B:$B, '資料源(請謹慎編輯)'!J:J, 0)</f>
        <v>#NAME?</v>
      </c>
      <c r="K6" s="15" t="e">
        <f t="array" aca="1" ref="K6" ca="1">XLOOKUP($B6, '資料源(請謹慎編輯)'!$B:$B, '資料源(請謹慎編輯)'!K:K, 0)</f>
        <v>#NAME?</v>
      </c>
      <c r="L6" s="16" t="e">
        <f t="array" aca="1" ref="L6" ca="1">XLOOKUP($B6, '資料源(請謹慎編輯)'!$B:$B, '資料源(請謹慎編輯)'!L:L, 0)</f>
        <v>#NAME?</v>
      </c>
      <c r="M6" s="15" t="e">
        <f t="array" aca="1" ref="M6" ca="1">XLOOKUP($B6, '資料源(請謹慎編輯)'!$B:$B, '資料源(請謹慎編輯)'!M:M, 0)</f>
        <v>#NAME?</v>
      </c>
      <c r="N6" s="16" t="e">
        <f t="array" aca="1" ref="N6" ca="1">XLOOKUP($B6, '資料源(請謹慎編輯)'!$B:$B, '資料源(請謹慎編輯)'!N:N, 0)</f>
        <v>#NAME?</v>
      </c>
      <c r="O6" s="9" t="e">
        <f t="array" aca="1" ref="O6" ca="1">XLOOKUP($B6, '資料源(請謹慎編輯)'!$B:$B, '資料源(請謹慎編輯)'!O:O, 0)</f>
        <v>#NAME?</v>
      </c>
      <c r="P6" s="10" t="e">
        <f t="array" aca="1" ref="P6" ca="1">XLOOKUP($B6, '資料源(請謹慎編輯)'!$B:$B, '資料源(請謹慎編輯)'!P:P, 0)</f>
        <v>#NAME?</v>
      </c>
      <c r="Q6" s="9" t="e">
        <f t="array" aca="1" ref="Q6" ca="1">XLOOKUP($B6, '資料源(請謹慎編輯)'!$B:$B, '資料源(請謹慎編輯)'!Q:Q, 0)</f>
        <v>#NAME?</v>
      </c>
      <c r="R6" s="10" t="e">
        <f t="array" aca="1" ref="R6" ca="1">XLOOKUP($B6, '資料源(請謹慎編輯)'!$B:$B, '資料源(請謹慎編輯)'!R:R, 0)</f>
        <v>#NAME?</v>
      </c>
      <c r="S6" s="9" t="e">
        <f t="array" aca="1" ref="S6" ca="1">XLOOKUP($B6, '資料源(請謹慎編輯)'!$B:$B, '資料源(請謹慎編輯)'!S:S, 0)</f>
        <v>#NAME?</v>
      </c>
      <c r="T6" s="10" t="e">
        <f t="array" aca="1" ref="T6" ca="1">XLOOKUP($B6, '資料源(請謹慎編輯)'!$B:$B, '資料源(請謹慎編輯)'!T:T, 0)</f>
        <v>#NAME?</v>
      </c>
      <c r="U6" s="9" t="e">
        <f t="array" aca="1" ref="U6" ca="1">XLOOKUP($B6, '資料源(請謹慎編輯)'!$B:$B, '資料源(請謹慎編輯)'!U:U, 0)</f>
        <v>#NAME?</v>
      </c>
      <c r="V6" s="10" t="e">
        <f t="array" aca="1" ref="V6" ca="1">XLOOKUP($B6, '資料源(請謹慎編輯)'!$B:$B, '資料源(請謹慎編輯)'!V:V, 0)</f>
        <v>#NAME?</v>
      </c>
      <c r="W6" s="9" t="e">
        <f t="array" aca="1" ref="W6" ca="1">XLOOKUP($B6, '資料源(請謹慎編輯)'!$B:$B, '資料源(請謹慎編輯)'!W:W, 0)</f>
        <v>#NAME?</v>
      </c>
      <c r="X6" s="10" t="e">
        <f t="array" aca="1" ref="X6" ca="1">XLOOKUP($B6, '資料源(請謹慎編輯)'!$B:$B, '資料源(請謹慎編輯)'!X:X, 0)</f>
        <v>#NAME?</v>
      </c>
      <c r="Y6" s="9" t="e">
        <f t="array" aca="1" ref="Y6" ca="1">XLOOKUP($B6, '資料源(請謹慎編輯)'!$B:$B, '資料源(請謹慎編輯)'!Y:Y, 0)</f>
        <v>#NAME?</v>
      </c>
      <c r="Z6" s="11" t="e">
        <f t="array" aca="1" ref="Z6" ca="1">XLOOKUP($B6, '資料源(請謹慎編輯)'!$B:$B, '資料源(請謹慎編輯)'!Z:Z, 0)</f>
        <v>#NAME?</v>
      </c>
    </row>
    <row r="7" spans="1:26" ht="18.75" customHeight="1">
      <c r="A7" s="5" t="s">
        <v>32</v>
      </c>
      <c r="B7" s="12" t="s">
        <v>33</v>
      </c>
      <c r="C7" s="15" t="e">
        <f t="array" aca="1" ref="C7" ca="1">XLOOKUP($B7, '資料源(請謹慎編輯)'!$B:$B, '資料源(請謹慎編輯)'!C:C, 0)</f>
        <v>#NAME?</v>
      </c>
      <c r="D7" s="16" t="e">
        <f t="array" aca="1" ref="D7" ca="1">XLOOKUP($B7, '資料源(請謹慎編輯)'!$B:$B, '資料源(請謹慎編輯)'!D:D, 0)</f>
        <v>#NAME?</v>
      </c>
      <c r="E7" s="15" t="e">
        <f t="array" aca="1" ref="E7" ca="1">XLOOKUP($B7, '資料源(請謹慎編輯)'!$B:$B, '資料源(請謹慎編輯)'!E:E, 0)</f>
        <v>#NAME?</v>
      </c>
      <c r="F7" s="16" t="e">
        <f t="array" aca="1" ref="F7" ca="1">XLOOKUP($B7, '資料源(請謹慎編輯)'!$B:$B, '資料源(請謹慎編輯)'!F:F, 0)</f>
        <v>#NAME?</v>
      </c>
      <c r="G7" s="15" t="e">
        <f t="array" aca="1" ref="G7" ca="1">XLOOKUP($B7, '資料源(請謹慎編輯)'!$B:$B, '資料源(請謹慎編輯)'!G:G, 0)</f>
        <v>#NAME?</v>
      </c>
      <c r="H7" s="16" t="e">
        <f t="array" aca="1" ref="H7" ca="1">XLOOKUP($B7, '資料源(請謹慎編輯)'!$B:$B, '資料源(請謹慎編輯)'!H:H, 0)</f>
        <v>#NAME?</v>
      </c>
      <c r="I7" s="15" t="e">
        <f t="array" aca="1" ref="I7" ca="1">XLOOKUP($B7, '資料源(請謹慎編輯)'!$B:$B, '資料源(請謹慎編輯)'!I:I, 0)</f>
        <v>#NAME?</v>
      </c>
      <c r="J7" s="16" t="e">
        <f t="array" aca="1" ref="J7" ca="1">XLOOKUP($B7, '資料源(請謹慎編輯)'!$B:$B, '資料源(請謹慎編輯)'!J:J, 0)</f>
        <v>#NAME?</v>
      </c>
      <c r="K7" s="15" t="e">
        <f t="array" aca="1" ref="K7" ca="1">XLOOKUP($B7, '資料源(請謹慎編輯)'!$B:$B, '資料源(請謹慎編輯)'!K:K, 0)</f>
        <v>#NAME?</v>
      </c>
      <c r="L7" s="16" t="e">
        <f t="array" aca="1" ref="L7" ca="1">XLOOKUP($B7, '資料源(請謹慎編輯)'!$B:$B, '資料源(請謹慎編輯)'!L:L, 0)</f>
        <v>#NAME?</v>
      </c>
      <c r="M7" s="15" t="e">
        <f t="array" aca="1" ref="M7" ca="1">XLOOKUP($B7, '資料源(請謹慎編輯)'!$B:$B, '資料源(請謹慎編輯)'!M:M, 0)</f>
        <v>#NAME?</v>
      </c>
      <c r="N7" s="16" t="e">
        <f t="array" aca="1" ref="N7" ca="1">XLOOKUP($B7, '資料源(請謹慎編輯)'!$B:$B, '資料源(請謹慎編輯)'!N:N, 0)</f>
        <v>#NAME?</v>
      </c>
      <c r="O7" s="9" t="e">
        <f t="array" aca="1" ref="O7" ca="1">XLOOKUP($B7, '資料源(請謹慎編輯)'!$B:$B, '資料源(請謹慎編輯)'!O:O, 0)</f>
        <v>#NAME?</v>
      </c>
      <c r="P7" s="10" t="e">
        <f t="array" aca="1" ref="P7" ca="1">XLOOKUP($B7, '資料源(請謹慎編輯)'!$B:$B, '資料源(請謹慎編輯)'!P:P, 0)</f>
        <v>#NAME?</v>
      </c>
      <c r="Q7" s="9" t="e">
        <f t="array" aca="1" ref="Q7" ca="1">XLOOKUP($B7, '資料源(請謹慎編輯)'!$B:$B, '資料源(請謹慎編輯)'!Q:Q, 0)</f>
        <v>#NAME?</v>
      </c>
      <c r="R7" s="10" t="e">
        <f t="array" aca="1" ref="R7" ca="1">XLOOKUP($B7, '資料源(請謹慎編輯)'!$B:$B, '資料源(請謹慎編輯)'!R:R, 0)</f>
        <v>#NAME?</v>
      </c>
      <c r="S7" s="9" t="e">
        <f t="array" aca="1" ref="S7" ca="1">XLOOKUP($B7, '資料源(請謹慎編輯)'!$B:$B, '資料源(請謹慎編輯)'!S:S, 0)</f>
        <v>#NAME?</v>
      </c>
      <c r="T7" s="10" t="e">
        <f t="array" aca="1" ref="T7" ca="1">XLOOKUP($B7, '資料源(請謹慎編輯)'!$B:$B, '資料源(請謹慎編輯)'!T:T, 0)</f>
        <v>#NAME?</v>
      </c>
      <c r="U7" s="9" t="e">
        <f t="array" aca="1" ref="U7" ca="1">XLOOKUP($B7, '資料源(請謹慎編輯)'!$B:$B, '資料源(請謹慎編輯)'!U:U, 0)</f>
        <v>#NAME?</v>
      </c>
      <c r="V7" s="10" t="e">
        <f t="array" aca="1" ref="V7" ca="1">XLOOKUP($B7, '資料源(請謹慎編輯)'!$B:$B, '資料源(請謹慎編輯)'!V:V, 0)</f>
        <v>#NAME?</v>
      </c>
      <c r="W7" s="9" t="e">
        <f t="array" aca="1" ref="W7" ca="1">XLOOKUP($B7, '資料源(請謹慎編輯)'!$B:$B, '資料源(請謹慎編輯)'!W:W, 0)</f>
        <v>#NAME?</v>
      </c>
      <c r="X7" s="10" t="e">
        <f t="array" aca="1" ref="X7" ca="1">XLOOKUP($B7, '資料源(請謹慎編輯)'!$B:$B, '資料源(請謹慎編輯)'!X:X, 0)</f>
        <v>#NAME?</v>
      </c>
      <c r="Y7" s="9" t="e">
        <f t="array" aca="1" ref="Y7" ca="1">XLOOKUP($B7, '資料源(請謹慎編輯)'!$B:$B, '資料源(請謹慎編輯)'!Y:Y, 0)</f>
        <v>#NAME?</v>
      </c>
      <c r="Z7" s="11" t="e">
        <f t="array" aca="1" ref="Z7" ca="1">XLOOKUP($B7, '資料源(請謹慎編輯)'!$B:$B, '資料源(請謹慎編輯)'!Z:Z, 0)</f>
        <v>#NAME?</v>
      </c>
    </row>
    <row r="8" spans="1:26" ht="18.75" customHeight="1">
      <c r="A8" s="5" t="s">
        <v>34</v>
      </c>
      <c r="B8" s="12" t="s">
        <v>35</v>
      </c>
      <c r="C8" s="15" t="e">
        <f t="array" aca="1" ref="C8" ca="1">XLOOKUP($B8, '資料源(請謹慎編輯)'!$B:$B, '資料源(請謹慎編輯)'!C:C, 0)</f>
        <v>#NAME?</v>
      </c>
      <c r="D8" s="16" t="e">
        <f t="array" aca="1" ref="D8" ca="1">XLOOKUP($B8, '資料源(請謹慎編輯)'!$B:$B, '資料源(請謹慎編輯)'!D:D, 0)</f>
        <v>#NAME?</v>
      </c>
      <c r="E8" s="15" t="e">
        <f t="array" aca="1" ref="E8" ca="1">XLOOKUP($B8, '資料源(請謹慎編輯)'!$B:$B, '資料源(請謹慎編輯)'!E:E, 0)</f>
        <v>#NAME?</v>
      </c>
      <c r="F8" s="16" t="e">
        <f t="array" aca="1" ref="F8" ca="1">XLOOKUP($B8, '資料源(請謹慎編輯)'!$B:$B, '資料源(請謹慎編輯)'!F:F, 0)</f>
        <v>#NAME?</v>
      </c>
      <c r="G8" s="15" t="e">
        <f t="array" aca="1" ref="G8" ca="1">XLOOKUP($B8, '資料源(請謹慎編輯)'!$B:$B, '資料源(請謹慎編輯)'!G:G, 0)</f>
        <v>#NAME?</v>
      </c>
      <c r="H8" s="16" t="e">
        <f t="array" aca="1" ref="H8" ca="1">XLOOKUP($B8, '資料源(請謹慎編輯)'!$B:$B, '資料源(請謹慎編輯)'!H:H, 0)</f>
        <v>#NAME?</v>
      </c>
      <c r="I8" s="15" t="e">
        <f t="array" aca="1" ref="I8" ca="1">XLOOKUP($B8, '資料源(請謹慎編輯)'!$B:$B, '資料源(請謹慎編輯)'!I:I, 0)</f>
        <v>#NAME?</v>
      </c>
      <c r="J8" s="16" t="e">
        <f t="array" aca="1" ref="J8" ca="1">XLOOKUP($B8, '資料源(請謹慎編輯)'!$B:$B, '資料源(請謹慎編輯)'!J:J, 0)</f>
        <v>#NAME?</v>
      </c>
      <c r="K8" s="15" t="e">
        <f t="array" aca="1" ref="K8" ca="1">XLOOKUP($B8, '資料源(請謹慎編輯)'!$B:$B, '資料源(請謹慎編輯)'!K:K, 0)</f>
        <v>#NAME?</v>
      </c>
      <c r="L8" s="16" t="e">
        <f t="array" aca="1" ref="L8" ca="1">XLOOKUP($B8, '資料源(請謹慎編輯)'!$B:$B, '資料源(請謹慎編輯)'!L:L, 0)</f>
        <v>#NAME?</v>
      </c>
      <c r="M8" s="15" t="e">
        <f t="array" aca="1" ref="M8" ca="1">XLOOKUP($B8, '資料源(請謹慎編輯)'!$B:$B, '資料源(請謹慎編輯)'!M:M, 0)</f>
        <v>#NAME?</v>
      </c>
      <c r="N8" s="16" t="e">
        <f t="array" aca="1" ref="N8" ca="1">XLOOKUP($B8, '資料源(請謹慎編輯)'!$B:$B, '資料源(請謹慎編輯)'!N:N, 0)</f>
        <v>#NAME?</v>
      </c>
      <c r="O8" s="9" t="e">
        <f t="array" aca="1" ref="O8" ca="1">XLOOKUP($B8, '資料源(請謹慎編輯)'!$B:$B, '資料源(請謹慎編輯)'!O:O, 0)</f>
        <v>#NAME?</v>
      </c>
      <c r="P8" s="10" t="e">
        <f t="array" aca="1" ref="P8" ca="1">XLOOKUP($B8, '資料源(請謹慎編輯)'!$B:$B, '資料源(請謹慎編輯)'!P:P, 0)</f>
        <v>#NAME?</v>
      </c>
      <c r="Q8" s="9" t="e">
        <f t="array" aca="1" ref="Q8" ca="1">XLOOKUP($B8, '資料源(請謹慎編輯)'!$B:$B, '資料源(請謹慎編輯)'!Q:Q, 0)</f>
        <v>#NAME?</v>
      </c>
      <c r="R8" s="10" t="e">
        <f t="array" aca="1" ref="R8" ca="1">XLOOKUP($B8, '資料源(請謹慎編輯)'!$B:$B, '資料源(請謹慎編輯)'!R:R, 0)</f>
        <v>#NAME?</v>
      </c>
      <c r="S8" s="9" t="e">
        <f t="array" aca="1" ref="S8" ca="1">XLOOKUP($B8, '資料源(請謹慎編輯)'!$B:$B, '資料源(請謹慎編輯)'!S:S, 0)</f>
        <v>#NAME?</v>
      </c>
      <c r="T8" s="10" t="e">
        <f t="array" aca="1" ref="T8" ca="1">XLOOKUP($B8, '資料源(請謹慎編輯)'!$B:$B, '資料源(請謹慎編輯)'!T:T, 0)</f>
        <v>#NAME?</v>
      </c>
      <c r="U8" s="9" t="e">
        <f t="array" aca="1" ref="U8" ca="1">XLOOKUP($B8, '資料源(請謹慎編輯)'!$B:$B, '資料源(請謹慎編輯)'!U:U, 0)</f>
        <v>#NAME?</v>
      </c>
      <c r="V8" s="10" t="e">
        <f t="array" aca="1" ref="V8" ca="1">XLOOKUP($B8, '資料源(請謹慎編輯)'!$B:$B, '資料源(請謹慎編輯)'!V:V, 0)</f>
        <v>#NAME?</v>
      </c>
      <c r="W8" s="9" t="e">
        <f t="array" aca="1" ref="W8" ca="1">XLOOKUP($B8, '資料源(請謹慎編輯)'!$B:$B, '資料源(請謹慎編輯)'!W:W, 0)</f>
        <v>#NAME?</v>
      </c>
      <c r="X8" s="10" t="e">
        <f t="array" aca="1" ref="X8" ca="1">XLOOKUP($B8, '資料源(請謹慎編輯)'!$B:$B, '資料源(請謹慎編輯)'!X:X, 0)</f>
        <v>#NAME?</v>
      </c>
      <c r="Y8" s="9" t="e">
        <f t="array" aca="1" ref="Y8" ca="1">XLOOKUP($B8, '資料源(請謹慎編輯)'!$B:$B, '資料源(請謹慎編輯)'!Y:Y, 0)</f>
        <v>#NAME?</v>
      </c>
      <c r="Z8" s="11" t="e">
        <f t="array" aca="1" ref="Z8" ca="1">XLOOKUP($B8, '資料源(請謹慎編輯)'!$B:$B, '資料源(請謹慎編輯)'!Z:Z, 0)</f>
        <v>#NAME?</v>
      </c>
    </row>
    <row r="9" spans="1:26" ht="18.75" customHeight="1">
      <c r="A9" s="5" t="s">
        <v>36</v>
      </c>
      <c r="B9" s="12" t="s">
        <v>37</v>
      </c>
      <c r="C9" s="7" t="e">
        <f t="array" aca="1" ref="C9" ca="1">XLOOKUP($B9, '資料源(請謹慎編輯)'!$B:$B, '資料源(請謹慎編輯)'!C:C, 0)</f>
        <v>#NAME?</v>
      </c>
      <c r="D9" s="8" t="e">
        <f t="array" aca="1" ref="D9" ca="1">XLOOKUP($B9, '資料源(請謹慎編輯)'!$B:$B, '資料源(請謹慎編輯)'!D:D, 0)</f>
        <v>#NAME?</v>
      </c>
      <c r="E9" s="7" t="e">
        <f t="array" aca="1" ref="E9" ca="1">XLOOKUP($B9, '資料源(請謹慎編輯)'!$B:$B, '資料源(請謹慎編輯)'!E:E, 0)</f>
        <v>#NAME?</v>
      </c>
      <c r="F9" s="8" t="e">
        <f t="array" aca="1" ref="F9" ca="1">XLOOKUP($B9, '資料源(請謹慎編輯)'!$B:$B, '資料源(請謹慎編輯)'!F:F, 0)</f>
        <v>#NAME?</v>
      </c>
      <c r="G9" s="7" t="e">
        <f t="array" aca="1" ref="G9" ca="1">XLOOKUP($B9, '資料源(請謹慎編輯)'!$B:$B, '資料源(請謹慎編輯)'!G:G, 0)</f>
        <v>#NAME?</v>
      </c>
      <c r="H9" s="8" t="e">
        <f t="array" aca="1" ref="H9" ca="1">XLOOKUP($B9, '資料源(請謹慎編輯)'!$B:$B, '資料源(請謹慎編輯)'!H:H, 0)</f>
        <v>#NAME?</v>
      </c>
      <c r="I9" s="7" t="e">
        <f t="array" aca="1" ref="I9" ca="1">XLOOKUP($B9, '資料源(請謹慎編輯)'!$B:$B, '資料源(請謹慎編輯)'!I:I, 0)</f>
        <v>#NAME?</v>
      </c>
      <c r="J9" s="8" t="e">
        <f t="array" aca="1" ref="J9" ca="1">XLOOKUP($B9, '資料源(請謹慎編輯)'!$B:$B, '資料源(請謹慎編輯)'!J:J, 0)</f>
        <v>#NAME?</v>
      </c>
      <c r="K9" s="7" t="e">
        <f t="array" aca="1" ref="K9" ca="1">XLOOKUP($B9, '資料源(請謹慎編輯)'!$B:$B, '資料源(請謹慎編輯)'!K:K, 0)</f>
        <v>#NAME?</v>
      </c>
      <c r="L9" s="8" t="e">
        <f t="array" aca="1" ref="L9" ca="1">XLOOKUP($B9, '資料源(請謹慎編輯)'!$B:$B, '資料源(請謹慎編輯)'!L:L, 0)</f>
        <v>#NAME?</v>
      </c>
      <c r="M9" s="7" t="e">
        <f t="array" aca="1" ref="M9" ca="1">XLOOKUP($B9, '資料源(請謹慎編輯)'!$B:$B, '資料源(請謹慎編輯)'!M:M, 0)</f>
        <v>#NAME?</v>
      </c>
      <c r="N9" s="8" t="e">
        <f t="array" aca="1" ref="N9" ca="1">XLOOKUP($B9, '資料源(請謹慎編輯)'!$B:$B, '資料源(請謹慎編輯)'!N:N, 0)</f>
        <v>#NAME?</v>
      </c>
      <c r="O9" s="9" t="e">
        <f t="array" aca="1" ref="O9" ca="1">XLOOKUP($B9, '資料源(請謹慎編輯)'!$B:$B, '資料源(請謹慎編輯)'!O:O, 0)</f>
        <v>#NAME?</v>
      </c>
      <c r="P9" s="10" t="e">
        <f t="array" aca="1" ref="P9" ca="1">XLOOKUP($B9, '資料源(請謹慎編輯)'!$B:$B, '資料源(請謹慎編輯)'!P:P, 0)</f>
        <v>#NAME?</v>
      </c>
      <c r="Q9" s="9" t="e">
        <f t="array" aca="1" ref="Q9" ca="1">XLOOKUP($B9, '資料源(請謹慎編輯)'!$B:$B, '資料源(請謹慎編輯)'!Q:Q, 0)</f>
        <v>#NAME?</v>
      </c>
      <c r="R9" s="10" t="e">
        <f t="array" aca="1" ref="R9" ca="1">XLOOKUP($B9, '資料源(請謹慎編輯)'!$B:$B, '資料源(請謹慎編輯)'!R:R, 0)</f>
        <v>#NAME?</v>
      </c>
      <c r="S9" s="9" t="e">
        <f t="array" aca="1" ref="S9" ca="1">XLOOKUP($B9, '資料源(請謹慎編輯)'!$B:$B, '資料源(請謹慎編輯)'!S:S, 0)</f>
        <v>#NAME?</v>
      </c>
      <c r="T9" s="10" t="e">
        <f t="array" aca="1" ref="T9" ca="1">XLOOKUP($B9, '資料源(請謹慎編輯)'!$B:$B, '資料源(請謹慎編輯)'!T:T, 0)</f>
        <v>#NAME?</v>
      </c>
      <c r="U9" s="9" t="e">
        <f t="array" aca="1" ref="U9" ca="1">XLOOKUP($B9, '資料源(請謹慎編輯)'!$B:$B, '資料源(請謹慎編輯)'!U:U, 0)</f>
        <v>#NAME?</v>
      </c>
      <c r="V9" s="10" t="e">
        <f t="array" aca="1" ref="V9" ca="1">XLOOKUP($B9, '資料源(請謹慎編輯)'!$B:$B, '資料源(請謹慎編輯)'!V:V, 0)</f>
        <v>#NAME?</v>
      </c>
      <c r="W9" s="9" t="e">
        <f t="array" aca="1" ref="W9" ca="1">XLOOKUP($B9, '資料源(請謹慎編輯)'!$B:$B, '資料源(請謹慎編輯)'!W:W, 0)</f>
        <v>#NAME?</v>
      </c>
      <c r="X9" s="10" t="e">
        <f t="array" aca="1" ref="X9" ca="1">XLOOKUP($B9, '資料源(請謹慎編輯)'!$B:$B, '資料源(請謹慎編輯)'!X:X, 0)</f>
        <v>#NAME?</v>
      </c>
      <c r="Y9" s="9" t="e">
        <f t="array" aca="1" ref="Y9" ca="1">XLOOKUP($B9, '資料源(請謹慎編輯)'!$B:$B, '資料源(請謹慎編輯)'!Y:Y, 0)</f>
        <v>#NAME?</v>
      </c>
      <c r="Z9" s="11" t="e">
        <f t="array" aca="1" ref="Z9" ca="1">XLOOKUP($B9, '資料源(請謹慎編輯)'!$B:$B, '資料源(請謹慎編輯)'!Z:Z, 0)</f>
        <v>#NAME?</v>
      </c>
    </row>
    <row r="10" spans="1:26" ht="18.75" customHeight="1">
      <c r="A10" s="5" t="s">
        <v>38</v>
      </c>
      <c r="B10" s="12" t="s">
        <v>39</v>
      </c>
      <c r="C10" s="15" t="e">
        <f t="array" aca="1" ref="C10" ca="1">XLOOKUP($B10, '資料源(請謹慎編輯)'!$B:$B, '資料源(請謹慎編輯)'!C:C, 0)</f>
        <v>#NAME?</v>
      </c>
      <c r="D10" s="16" t="e">
        <f t="array" aca="1" ref="D10" ca="1">XLOOKUP($B10, '資料源(請謹慎編輯)'!$B:$B, '資料源(請謹慎編輯)'!D:D, 0)</f>
        <v>#NAME?</v>
      </c>
      <c r="E10" s="15" t="e">
        <f t="array" aca="1" ref="E10" ca="1">XLOOKUP($B10, '資料源(請謹慎編輯)'!$B:$B, '資料源(請謹慎編輯)'!E:E, 0)</f>
        <v>#NAME?</v>
      </c>
      <c r="F10" s="16" t="e">
        <f t="array" aca="1" ref="F10" ca="1">XLOOKUP($B10, '資料源(請謹慎編輯)'!$B:$B, '資料源(請謹慎編輯)'!F:F, 0)</f>
        <v>#NAME?</v>
      </c>
      <c r="G10" s="15" t="e">
        <f t="array" aca="1" ref="G10" ca="1">XLOOKUP($B10, '資料源(請謹慎編輯)'!$B:$B, '資料源(請謹慎編輯)'!G:G, 0)</f>
        <v>#NAME?</v>
      </c>
      <c r="H10" s="16" t="e">
        <f t="array" aca="1" ref="H10" ca="1">XLOOKUP($B10, '資料源(請謹慎編輯)'!$B:$B, '資料源(請謹慎編輯)'!H:H, 0)</f>
        <v>#NAME?</v>
      </c>
      <c r="I10" s="15" t="e">
        <f t="array" aca="1" ref="I10" ca="1">XLOOKUP($B10, '資料源(請謹慎編輯)'!$B:$B, '資料源(請謹慎編輯)'!I:I, 0)</f>
        <v>#NAME?</v>
      </c>
      <c r="J10" s="16" t="e">
        <f t="array" aca="1" ref="J10" ca="1">XLOOKUP($B10, '資料源(請謹慎編輯)'!$B:$B, '資料源(請謹慎編輯)'!J:J, 0)</f>
        <v>#NAME?</v>
      </c>
      <c r="K10" s="15" t="e">
        <f t="array" aca="1" ref="K10" ca="1">XLOOKUP($B10, '資料源(請謹慎編輯)'!$B:$B, '資料源(請謹慎編輯)'!K:K, 0)</f>
        <v>#NAME?</v>
      </c>
      <c r="L10" s="16" t="e">
        <f t="array" aca="1" ref="L10" ca="1">XLOOKUP($B10, '資料源(請謹慎編輯)'!$B:$B, '資料源(請謹慎編輯)'!L:L, 0)</f>
        <v>#NAME?</v>
      </c>
      <c r="M10" s="15" t="e">
        <f t="array" aca="1" ref="M10" ca="1">XLOOKUP($B10, '資料源(請謹慎編輯)'!$B:$B, '資料源(請謹慎編輯)'!M:M, 0)</f>
        <v>#NAME?</v>
      </c>
      <c r="N10" s="16" t="e">
        <f t="array" aca="1" ref="N10" ca="1">XLOOKUP($B10, '資料源(請謹慎編輯)'!$B:$B, '資料源(請謹慎編輯)'!N:N, 0)</f>
        <v>#NAME?</v>
      </c>
      <c r="O10" s="9" t="e">
        <f t="array" aca="1" ref="O10" ca="1">XLOOKUP($B10, '資料源(請謹慎編輯)'!$B:$B, '資料源(請謹慎編輯)'!O:O, 0)</f>
        <v>#NAME?</v>
      </c>
      <c r="P10" s="10" t="e">
        <f t="array" aca="1" ref="P10" ca="1">XLOOKUP($B10, '資料源(請謹慎編輯)'!$B:$B, '資料源(請謹慎編輯)'!P:P, 0)</f>
        <v>#NAME?</v>
      </c>
      <c r="Q10" s="9" t="e">
        <f t="array" aca="1" ref="Q10" ca="1">XLOOKUP($B10, '資料源(請謹慎編輯)'!$B:$B, '資料源(請謹慎編輯)'!Q:Q, 0)</f>
        <v>#NAME?</v>
      </c>
      <c r="R10" s="10" t="e">
        <f t="array" aca="1" ref="R10" ca="1">XLOOKUP($B10, '資料源(請謹慎編輯)'!$B:$B, '資料源(請謹慎編輯)'!R:R, 0)</f>
        <v>#NAME?</v>
      </c>
      <c r="S10" s="9" t="e">
        <f t="array" aca="1" ref="S10" ca="1">XLOOKUP($B10, '資料源(請謹慎編輯)'!$B:$B, '資料源(請謹慎編輯)'!S:S, 0)</f>
        <v>#NAME?</v>
      </c>
      <c r="T10" s="10" t="e">
        <f t="array" aca="1" ref="T10" ca="1">XLOOKUP($B10, '資料源(請謹慎編輯)'!$B:$B, '資料源(請謹慎編輯)'!T:T, 0)</f>
        <v>#NAME?</v>
      </c>
      <c r="U10" s="9" t="e">
        <f t="array" aca="1" ref="U10" ca="1">XLOOKUP($B10, '資料源(請謹慎編輯)'!$B:$B, '資料源(請謹慎編輯)'!U:U, 0)</f>
        <v>#NAME?</v>
      </c>
      <c r="V10" s="10" t="e">
        <f t="array" aca="1" ref="V10" ca="1">XLOOKUP($B10, '資料源(請謹慎編輯)'!$B:$B, '資料源(請謹慎編輯)'!V:V, 0)</f>
        <v>#NAME?</v>
      </c>
      <c r="W10" s="9" t="e">
        <f t="array" aca="1" ref="W10" ca="1">XLOOKUP($B10, '資料源(請謹慎編輯)'!$B:$B, '資料源(請謹慎編輯)'!W:W, 0)</f>
        <v>#NAME?</v>
      </c>
      <c r="X10" s="10" t="e">
        <f t="array" aca="1" ref="X10" ca="1">XLOOKUP($B10, '資料源(請謹慎編輯)'!$B:$B, '資料源(請謹慎編輯)'!X:X, 0)</f>
        <v>#NAME?</v>
      </c>
      <c r="Y10" s="9" t="e">
        <f t="array" aca="1" ref="Y10" ca="1">XLOOKUP($B10, '資料源(請謹慎編輯)'!$B:$B, '資料源(請謹慎編輯)'!Y:Y, 0)</f>
        <v>#NAME?</v>
      </c>
      <c r="Z10" s="11" t="e">
        <f t="array" aca="1" ref="Z10" ca="1">XLOOKUP($B10, '資料源(請謹慎編輯)'!$B:$B, '資料源(請謹慎編輯)'!Z:Z, 0)</f>
        <v>#NAME?</v>
      </c>
    </row>
    <row r="11" spans="1:26" ht="18.75" customHeight="1">
      <c r="A11" s="5" t="s">
        <v>40</v>
      </c>
      <c r="B11" s="12" t="s">
        <v>41</v>
      </c>
      <c r="C11" s="15" t="e">
        <f t="array" aca="1" ref="C11" ca="1">XLOOKUP($B11, '資料源(請謹慎編輯)'!$B:$B, '資料源(請謹慎編輯)'!C:C, 0)</f>
        <v>#NAME?</v>
      </c>
      <c r="D11" s="16" t="e">
        <f t="array" aca="1" ref="D11" ca="1">XLOOKUP($B11, '資料源(請謹慎編輯)'!$B:$B, '資料源(請謹慎編輯)'!D:D, 0)</f>
        <v>#NAME?</v>
      </c>
      <c r="E11" s="15" t="e">
        <f t="array" aca="1" ref="E11" ca="1">XLOOKUP($B11, '資料源(請謹慎編輯)'!$B:$B, '資料源(請謹慎編輯)'!E:E, 0)</f>
        <v>#NAME?</v>
      </c>
      <c r="F11" s="16" t="e">
        <f t="array" aca="1" ref="F11" ca="1">XLOOKUP($B11, '資料源(請謹慎編輯)'!$B:$B, '資料源(請謹慎編輯)'!F:F, 0)</f>
        <v>#NAME?</v>
      </c>
      <c r="G11" s="15" t="e">
        <f t="array" aca="1" ref="G11" ca="1">XLOOKUP($B11, '資料源(請謹慎編輯)'!$B:$B, '資料源(請謹慎編輯)'!G:G, 0)</f>
        <v>#NAME?</v>
      </c>
      <c r="H11" s="16" t="e">
        <f t="array" aca="1" ref="H11" ca="1">XLOOKUP($B11, '資料源(請謹慎編輯)'!$B:$B, '資料源(請謹慎編輯)'!H:H, 0)</f>
        <v>#NAME?</v>
      </c>
      <c r="I11" s="15" t="e">
        <f t="array" aca="1" ref="I11" ca="1">XLOOKUP($B11, '資料源(請謹慎編輯)'!$B:$B, '資料源(請謹慎編輯)'!I:I, 0)</f>
        <v>#NAME?</v>
      </c>
      <c r="J11" s="16" t="e">
        <f t="array" aca="1" ref="J11" ca="1">XLOOKUP($B11, '資料源(請謹慎編輯)'!$B:$B, '資料源(請謹慎編輯)'!J:J, 0)</f>
        <v>#NAME?</v>
      </c>
      <c r="K11" s="15" t="e">
        <f t="array" aca="1" ref="K11" ca="1">XLOOKUP($B11, '資料源(請謹慎編輯)'!$B:$B, '資料源(請謹慎編輯)'!K:K, 0)</f>
        <v>#NAME?</v>
      </c>
      <c r="L11" s="16" t="e">
        <f t="array" aca="1" ref="L11" ca="1">XLOOKUP($B11, '資料源(請謹慎編輯)'!$B:$B, '資料源(請謹慎編輯)'!L:L, 0)</f>
        <v>#NAME?</v>
      </c>
      <c r="M11" s="15" t="e">
        <f t="array" aca="1" ref="M11" ca="1">XLOOKUP($B11, '資料源(請謹慎編輯)'!$B:$B, '資料源(請謹慎編輯)'!M:M, 0)</f>
        <v>#NAME?</v>
      </c>
      <c r="N11" s="16" t="e">
        <f t="array" aca="1" ref="N11" ca="1">XLOOKUP($B11, '資料源(請謹慎編輯)'!$B:$B, '資料源(請謹慎編輯)'!N:N, 0)</f>
        <v>#NAME?</v>
      </c>
      <c r="O11" s="9" t="e">
        <f t="array" aca="1" ref="O11" ca="1">XLOOKUP($B11, '資料源(請謹慎編輯)'!$B:$B, '資料源(請謹慎編輯)'!O:O, 0)</f>
        <v>#NAME?</v>
      </c>
      <c r="P11" s="10" t="e">
        <f t="array" aca="1" ref="P11" ca="1">XLOOKUP($B11, '資料源(請謹慎編輯)'!$B:$B, '資料源(請謹慎編輯)'!P:P, 0)</f>
        <v>#NAME?</v>
      </c>
      <c r="Q11" s="9" t="e">
        <f t="array" aca="1" ref="Q11" ca="1">XLOOKUP($B11, '資料源(請謹慎編輯)'!$B:$B, '資料源(請謹慎編輯)'!Q:Q, 0)</f>
        <v>#NAME?</v>
      </c>
      <c r="R11" s="10" t="e">
        <f t="array" aca="1" ref="R11" ca="1">XLOOKUP($B11, '資料源(請謹慎編輯)'!$B:$B, '資料源(請謹慎編輯)'!R:R, 0)</f>
        <v>#NAME?</v>
      </c>
      <c r="S11" s="9" t="e">
        <f t="array" aca="1" ref="S11" ca="1">XLOOKUP($B11, '資料源(請謹慎編輯)'!$B:$B, '資料源(請謹慎編輯)'!S:S, 0)</f>
        <v>#NAME?</v>
      </c>
      <c r="T11" s="10" t="e">
        <f t="array" aca="1" ref="T11" ca="1">XLOOKUP($B11, '資料源(請謹慎編輯)'!$B:$B, '資料源(請謹慎編輯)'!T:T, 0)</f>
        <v>#NAME?</v>
      </c>
      <c r="U11" s="9" t="e">
        <f t="array" aca="1" ref="U11" ca="1">XLOOKUP($B11, '資料源(請謹慎編輯)'!$B:$B, '資料源(請謹慎編輯)'!U:U, 0)</f>
        <v>#NAME?</v>
      </c>
      <c r="V11" s="10" t="e">
        <f t="array" aca="1" ref="V11" ca="1">XLOOKUP($B11, '資料源(請謹慎編輯)'!$B:$B, '資料源(請謹慎編輯)'!V:V, 0)</f>
        <v>#NAME?</v>
      </c>
      <c r="W11" s="9" t="e">
        <f t="array" aca="1" ref="W11" ca="1">XLOOKUP($B11, '資料源(請謹慎編輯)'!$B:$B, '資料源(請謹慎編輯)'!W:W, 0)</f>
        <v>#NAME?</v>
      </c>
      <c r="X11" s="10" t="e">
        <f t="array" aca="1" ref="X11" ca="1">XLOOKUP($B11, '資料源(請謹慎編輯)'!$B:$B, '資料源(請謹慎編輯)'!X:X, 0)</f>
        <v>#NAME?</v>
      </c>
      <c r="Y11" s="9" t="e">
        <f t="array" aca="1" ref="Y11" ca="1">XLOOKUP($B11, '資料源(請謹慎編輯)'!$B:$B, '資料源(請謹慎編輯)'!Y:Y, 0)</f>
        <v>#NAME?</v>
      </c>
      <c r="Z11" s="11" t="e">
        <f t="array" aca="1" ref="Z11" ca="1">XLOOKUP($B11, '資料源(請謹慎編輯)'!$B:$B, '資料源(請謹慎編輯)'!Z:Z, 0)</f>
        <v>#NAME?</v>
      </c>
    </row>
    <row r="12" spans="1:26" ht="18.75" customHeight="1">
      <c r="A12" s="17" t="s">
        <v>42</v>
      </c>
      <c r="B12" s="18" t="s">
        <v>43</v>
      </c>
      <c r="C12" s="15" t="e">
        <f t="array" aca="1" ref="C12" ca="1">XLOOKUP($B12, '資料源(請謹慎編輯)'!$B$170:$B$180, '資料源(請謹慎編輯)'!C$170:C$180, 0)</f>
        <v>#NAME?</v>
      </c>
      <c r="D12" s="16" t="e">
        <f t="array" aca="1" ref="D12" ca="1">XLOOKUP($B12, '資料源(請謹慎編輯)'!$B$170:$B$180, '資料源(請謹慎編輯)'!D$170:D$180, 0)</f>
        <v>#NAME?</v>
      </c>
      <c r="E12" s="15" t="e">
        <f t="array" aca="1" ref="E12" ca="1">XLOOKUP($B12, '資料源(請謹慎編輯)'!$B$170:$B$180, '資料源(請謹慎編輯)'!E$170:E$180, 0)</f>
        <v>#NAME?</v>
      </c>
      <c r="F12" s="16" t="e">
        <f t="array" aca="1" ref="F12" ca="1">XLOOKUP($B12, '資料源(請謹慎編輯)'!$B$170:$B$180, '資料源(請謹慎編輯)'!F$170:F$180, 0)</f>
        <v>#NAME?</v>
      </c>
      <c r="G12" s="15" t="e">
        <f t="array" aca="1" ref="G12" ca="1">XLOOKUP($B12, '資料源(請謹慎編輯)'!$B$170:$B$180, '資料源(請謹慎編輯)'!G$170:G$180, 0)</f>
        <v>#NAME?</v>
      </c>
      <c r="H12" s="16" t="e">
        <f t="array" aca="1" ref="H12" ca="1">XLOOKUP($B12, '資料源(請謹慎編輯)'!$B$170:$B$180, '資料源(請謹慎編輯)'!H$170:H$180, 0)</f>
        <v>#NAME?</v>
      </c>
      <c r="I12" s="15" t="e">
        <f t="array" aca="1" ref="I12" ca="1">XLOOKUP($B12, '資料源(請謹慎編輯)'!$B$170:$B$180, '資料源(請謹慎編輯)'!I$170:I$180, 0)</f>
        <v>#NAME?</v>
      </c>
      <c r="J12" s="16" t="e">
        <f t="array" aca="1" ref="J12" ca="1">XLOOKUP($B12, '資料源(請謹慎編輯)'!$B$170:$B$180, '資料源(請謹慎編輯)'!J$170:J$180, 0)</f>
        <v>#NAME?</v>
      </c>
      <c r="K12" s="15" t="e">
        <f t="array" aca="1" ref="K12" ca="1">XLOOKUP($B12, '資料源(請謹慎編輯)'!$B$170:$B$180, '資料源(請謹慎編輯)'!K$170:K$180, 0)</f>
        <v>#NAME?</v>
      </c>
      <c r="L12" s="16" t="e">
        <f t="array" aca="1" ref="L12" ca="1">XLOOKUP($B12, '資料源(請謹慎編輯)'!$B$170:$B$180, '資料源(請謹慎編輯)'!L$170:L$180, 0)</f>
        <v>#NAME?</v>
      </c>
      <c r="M12" s="15" t="e">
        <f t="array" aca="1" ref="M12" ca="1">XLOOKUP($B12, '資料源(請謹慎編輯)'!$B$170:$B$180, '資料源(請謹慎編輯)'!M$170:M$180, 0)</f>
        <v>#NAME?</v>
      </c>
      <c r="N12" s="16" t="e">
        <f t="array" aca="1" ref="N12" ca="1">XLOOKUP($B12, '資料源(請謹慎編輯)'!$B$170:$B$180, '資料源(請謹慎編輯)'!N$170:N$180, 0)</f>
        <v>#NAME?</v>
      </c>
      <c r="O12" s="15" t="e">
        <f t="array" aca="1" ref="O12" ca="1">XLOOKUP($B12, '資料源(請謹慎編輯)'!$B$170:$B$180, '資料源(請謹慎編輯)'!O$170:O$180, 0)</f>
        <v>#NAME?</v>
      </c>
      <c r="P12" s="16" t="e">
        <f t="array" aca="1" ref="P12" ca="1">XLOOKUP($B12, '資料源(請謹慎編輯)'!$B$170:$B$180, '資料源(請謹慎編輯)'!P$170:P$180, 0)</f>
        <v>#NAME?</v>
      </c>
      <c r="Q12" s="15" t="e">
        <f t="array" aca="1" ref="Q12" ca="1">XLOOKUP($B12, '資料源(請謹慎編輯)'!$B$170:$B$180, '資料源(請謹慎編輯)'!Q$170:Q$180, 0)</f>
        <v>#NAME?</v>
      </c>
      <c r="R12" s="16" t="e">
        <f t="array" aca="1" ref="R12" ca="1">XLOOKUP($B12, '資料源(請謹慎編輯)'!$B$170:$B$180, '資料源(請謹慎編輯)'!R$170:R$180, 0)</f>
        <v>#NAME?</v>
      </c>
      <c r="S12" s="15" t="e">
        <f t="array" aca="1" ref="S12" ca="1">XLOOKUP($B12, '資料源(請謹慎編輯)'!$B$170:$B$180, '資料源(請謹慎編輯)'!S$170:S$180, 0)</f>
        <v>#NAME?</v>
      </c>
      <c r="T12" s="16" t="e">
        <f t="array" aca="1" ref="T12" ca="1">XLOOKUP($B12, '資料源(請謹慎編輯)'!$B$170:$B$180, '資料源(請謹慎編輯)'!T$170:T$180, 0)</f>
        <v>#NAME?</v>
      </c>
      <c r="U12" s="15" t="e">
        <f t="array" aca="1" ref="U12" ca="1">XLOOKUP($B12, '資料源(請謹慎編輯)'!$B$170:$B$180, '資料源(請謹慎編輯)'!U$170:U$180, 0)</f>
        <v>#NAME?</v>
      </c>
      <c r="V12" s="16" t="e">
        <f t="array" aca="1" ref="V12" ca="1">XLOOKUP($B12, '資料源(請謹慎編輯)'!$B$170:$B$180, '資料源(請謹慎編輯)'!V$170:V$180, 0)</f>
        <v>#NAME?</v>
      </c>
      <c r="W12" s="15" t="e">
        <f t="array" aca="1" ref="W12" ca="1">XLOOKUP($B12, '資料源(請謹慎編輯)'!$B$170:$B$180, '資料源(請謹慎編輯)'!W$170:W$180, 0)</f>
        <v>#NAME?</v>
      </c>
      <c r="X12" s="16" t="e">
        <f t="array" aca="1" ref="X12" ca="1">XLOOKUP($B12, '資料源(請謹慎編輯)'!$B$170:$B$180, '資料源(請謹慎編輯)'!X$170:X$180, 0)</f>
        <v>#NAME?</v>
      </c>
      <c r="Y12" s="15" t="e">
        <f t="array" aca="1" ref="Y12" ca="1">XLOOKUP($B12, '資料源(請謹慎編輯)'!$B$170:$B$180, '資料源(請謹慎編輯)'!Y$170:Y$180, 0)</f>
        <v>#NAME?</v>
      </c>
      <c r="Z12" s="19" t="e">
        <f t="array" aca="1" ref="Z12" ca="1">XLOOKUP($B12, '資料源(請謹慎編輯)'!$B$170:$B$180, '資料源(請謹慎編輯)'!Z$170:Z$180, 0)</f>
        <v>#NAME?</v>
      </c>
    </row>
    <row r="13" spans="1:26" ht="18.75" customHeight="1">
      <c r="A13" s="35" t="s">
        <v>44</v>
      </c>
      <c r="B13" s="36"/>
      <c r="C13" s="13" t="e">
        <f t="array" aca="1" ref="C13" ca="1">XLOOKUP($B12, '資料源(請謹慎編輯)'!$B$170:$B$180, '資料源(請謹慎編輯)'!C$184:C$193, 0)</f>
        <v>#NAME?</v>
      </c>
      <c r="D13" s="14" t="e">
        <f t="array" aca="1" ref="D13" ca="1">XLOOKUP($B12, '資料源(請謹慎編輯)'!$B$170:$B$180, '資料源(請謹慎編輯)'!D$184:D$193, 0)</f>
        <v>#NAME?</v>
      </c>
      <c r="E13" s="13" t="e">
        <f t="array" aca="1" ref="E13" ca="1">XLOOKUP($B12, '資料源(請謹慎編輯)'!$B$170:$B$180, '資料源(請謹慎編輯)'!E$184:E$193, 0)</f>
        <v>#NAME?</v>
      </c>
      <c r="F13" s="14" t="e">
        <f t="array" aca="1" ref="F13" ca="1">XLOOKUP($B12, '資料源(請謹慎編輯)'!$B$170:$B$180, '資料源(請謹慎編輯)'!F$184:F$193, 0)</f>
        <v>#NAME?</v>
      </c>
      <c r="G13" s="13" t="e">
        <f t="array" aca="1" ref="G13" ca="1">XLOOKUP($B12, '資料源(請謹慎編輯)'!$B$170:$B$180, '資料源(請謹慎編輯)'!G$184:G$193, 0)</f>
        <v>#NAME?</v>
      </c>
      <c r="H13" s="14" t="e">
        <f t="array" aca="1" ref="H13" ca="1">XLOOKUP($B12, '資料源(請謹慎編輯)'!$B$170:$B$180, '資料源(請謹慎編輯)'!H$184:H$193, 0)</f>
        <v>#NAME?</v>
      </c>
      <c r="I13" s="13" t="e">
        <f t="array" aca="1" ref="I13" ca="1">XLOOKUP($B12, '資料源(請謹慎編輯)'!$B$170:$B$180, '資料源(請謹慎編輯)'!I$184:I$193, 0)</f>
        <v>#NAME?</v>
      </c>
      <c r="J13" s="14" t="e">
        <f t="array" aca="1" ref="J13" ca="1">XLOOKUP($B12, '資料源(請謹慎編輯)'!$B$170:$B$180, '資料源(請謹慎編輯)'!J$184:J$193, 0)</f>
        <v>#NAME?</v>
      </c>
      <c r="K13" s="13" t="e">
        <f t="array" aca="1" ref="K13" ca="1">XLOOKUP($B12, '資料源(請謹慎編輯)'!$B$170:$B$180, '資料源(請謹慎編輯)'!K$184:K$193, 0)</f>
        <v>#NAME?</v>
      </c>
      <c r="L13" s="14" t="e">
        <f t="array" aca="1" ref="L13" ca="1">XLOOKUP($B12, '資料源(請謹慎編輯)'!$B$170:$B$180, '資料源(請謹慎編輯)'!L$184:L$193, 0)</f>
        <v>#NAME?</v>
      </c>
      <c r="M13" s="13" t="e">
        <f t="array" aca="1" ref="M13" ca="1">XLOOKUP($B12, '資料源(請謹慎編輯)'!$B$170:$B$180, '資料源(請謹慎編輯)'!M$184:M$193, 0)</f>
        <v>#NAME?</v>
      </c>
      <c r="N13" s="14" t="e">
        <f t="array" aca="1" ref="N13" ca="1">XLOOKUP($B12, '資料源(請謹慎編輯)'!$B$170:$B$180, '資料源(請謹慎編輯)'!N$184:N$193, 0)</f>
        <v>#NAME?</v>
      </c>
      <c r="O13" s="13" t="e">
        <f t="array" aca="1" ref="O13" ca="1">XLOOKUP($B12, '資料源(請謹慎編輯)'!$B$170:$B$180, '資料源(請謹慎編輯)'!O$184:O$193, 0)</f>
        <v>#NAME?</v>
      </c>
      <c r="P13" s="16" t="e">
        <f t="array" aca="1" ref="P13" ca="1">XLOOKUP($B12, '資料源(請謹慎編輯)'!$B$170:$B$180, '資料源(請謹慎編輯)'!P$184:P$193, 0)</f>
        <v>#NAME?</v>
      </c>
      <c r="Q13" s="15" t="e">
        <f t="array" aca="1" ref="Q13" ca="1">XLOOKUP($B12, '資料源(請謹慎編輯)'!$B$170:$B$180, '資料源(請謹慎編輯)'!Q$184:Q$193, 0)</f>
        <v>#NAME?</v>
      </c>
      <c r="R13" s="16" t="e">
        <f t="array" aca="1" ref="R13" ca="1">XLOOKUP($B12, '資料源(請謹慎編輯)'!$B$170:$B$180, '資料源(請謹慎編輯)'!R$184:R$193, 0)</f>
        <v>#NAME?</v>
      </c>
      <c r="S13" s="15" t="e">
        <f t="array" aca="1" ref="S13" ca="1">XLOOKUP($B12, '資料源(請謹慎編輯)'!$B$170:$B$180, '資料源(請謹慎編輯)'!S$184:S$193, 0)</f>
        <v>#NAME?</v>
      </c>
      <c r="T13" s="16" t="e">
        <f t="array" aca="1" ref="T13" ca="1">XLOOKUP($B12, '資料源(請謹慎編輯)'!$B$170:$B$180, '資料源(請謹慎編輯)'!T$184:T$193, 0)</f>
        <v>#NAME?</v>
      </c>
      <c r="U13" s="15" t="e">
        <f t="array" aca="1" ref="U13" ca="1">XLOOKUP($B12, '資料源(請謹慎編輯)'!$B$170:$B$180, '資料源(請謹慎編輯)'!U$184:U$193, 0)</f>
        <v>#NAME?</v>
      </c>
      <c r="V13" s="16" t="e">
        <f t="array" aca="1" ref="V13" ca="1">XLOOKUP($B12, '資料源(請謹慎編輯)'!$B$170:$B$180, '資料源(請謹慎編輯)'!V$184:V$193, 0)</f>
        <v>#NAME?</v>
      </c>
      <c r="W13" s="15" t="e">
        <f t="array" aca="1" ref="W13" ca="1">XLOOKUP($B12, '資料源(請謹慎編輯)'!$B$170:$B$180, '資料源(請謹慎編輯)'!W$184:W$193, 0)</f>
        <v>#NAME?</v>
      </c>
      <c r="X13" s="16" t="e">
        <f t="array" aca="1" ref="X13" ca="1">XLOOKUP($B12, '資料源(請謹慎編輯)'!$B$170:$B$180, '資料源(請謹慎編輯)'!X$184:X$193, 0)</f>
        <v>#NAME?</v>
      </c>
      <c r="Y13" s="15" t="e">
        <f t="array" aca="1" ref="Y13" ca="1">XLOOKUP($B12, '資料源(請謹慎編輯)'!$B$170:$B$180, '資料源(請謹慎編輯)'!Y$184:Y$193, 0)</f>
        <v>#NAME?</v>
      </c>
      <c r="Z13" s="19" t="e">
        <f t="array" aca="1" ref="Z13" ca="1">XLOOKUP($B12, '資料源(請謹慎編輯)'!$B$170:$B$180, '資料源(請謹慎編輯)'!Z$184:Z$193, 0)</f>
        <v>#NAME?</v>
      </c>
    </row>
    <row r="14" spans="1:26" ht="18.75" customHeight="1">
      <c r="A14" s="35" t="s">
        <v>45</v>
      </c>
      <c r="B14" s="37"/>
      <c r="C14" s="15">
        <v>1</v>
      </c>
      <c r="D14" s="16">
        <v>1</v>
      </c>
      <c r="E14" s="15">
        <v>1</v>
      </c>
      <c r="F14" s="16">
        <v>1</v>
      </c>
      <c r="G14" s="15">
        <v>1</v>
      </c>
      <c r="H14" s="16">
        <v>1</v>
      </c>
      <c r="I14" s="15">
        <v>1</v>
      </c>
      <c r="J14" s="16">
        <v>2</v>
      </c>
      <c r="K14" s="15">
        <v>1</v>
      </c>
      <c r="L14" s="16">
        <v>1</v>
      </c>
      <c r="M14" s="15">
        <v>1</v>
      </c>
      <c r="N14" s="16">
        <v>2</v>
      </c>
      <c r="O14" s="20">
        <v>1</v>
      </c>
      <c r="P14" s="5">
        <v>1</v>
      </c>
      <c r="Q14" s="21">
        <v>1</v>
      </c>
      <c r="R14" s="5">
        <v>1</v>
      </c>
      <c r="S14" s="21">
        <v>1</v>
      </c>
      <c r="T14" s="5">
        <v>1</v>
      </c>
      <c r="U14" s="21"/>
      <c r="V14" s="5"/>
      <c r="W14" s="22">
        <v>1</v>
      </c>
      <c r="X14" s="10">
        <v>1</v>
      </c>
      <c r="Y14" s="9">
        <v>1</v>
      </c>
      <c r="Z14" s="23">
        <v>1</v>
      </c>
    </row>
    <row r="15" spans="1:26" ht="18.75" customHeight="1">
      <c r="A15" s="38" t="s">
        <v>46</v>
      </c>
      <c r="B15" s="39"/>
      <c r="C15" s="24" t="e">
        <f t="shared" ref="C15:Z15" ca="1" si="0">SUM(C2:C14)</f>
        <v>#NAME?</v>
      </c>
      <c r="D15" s="24" t="e">
        <f t="shared" ca="1" si="0"/>
        <v>#NAME?</v>
      </c>
      <c r="E15" s="24" t="e">
        <f t="shared" ca="1" si="0"/>
        <v>#NAME?</v>
      </c>
      <c r="F15" s="24" t="e">
        <f t="shared" ca="1" si="0"/>
        <v>#NAME?</v>
      </c>
      <c r="G15" s="24" t="e">
        <f t="shared" ca="1" si="0"/>
        <v>#NAME?</v>
      </c>
      <c r="H15" s="24" t="e">
        <f t="shared" ca="1" si="0"/>
        <v>#NAME?</v>
      </c>
      <c r="I15" s="24" t="e">
        <f t="shared" ca="1" si="0"/>
        <v>#NAME?</v>
      </c>
      <c r="J15" s="24" t="e">
        <f t="shared" ca="1" si="0"/>
        <v>#NAME?</v>
      </c>
      <c r="K15" s="24" t="e">
        <f t="shared" ca="1" si="0"/>
        <v>#NAME?</v>
      </c>
      <c r="L15" s="24" t="e">
        <f t="shared" ca="1" si="0"/>
        <v>#NAME?</v>
      </c>
      <c r="M15" s="24" t="e">
        <f t="shared" ca="1" si="0"/>
        <v>#NAME?</v>
      </c>
      <c r="N15" s="24" t="e">
        <f t="shared" ca="1" si="0"/>
        <v>#NAME?</v>
      </c>
      <c r="O15" s="24" t="e">
        <f t="shared" ca="1" si="0"/>
        <v>#NAME?</v>
      </c>
      <c r="P15" s="24" t="e">
        <f t="shared" ca="1" si="0"/>
        <v>#NAME?</v>
      </c>
      <c r="Q15" s="24" t="e">
        <f t="shared" ca="1" si="0"/>
        <v>#NAME?</v>
      </c>
      <c r="R15" s="24" t="e">
        <f t="shared" ca="1" si="0"/>
        <v>#NAME?</v>
      </c>
      <c r="S15" s="24" t="e">
        <f t="shared" ca="1" si="0"/>
        <v>#NAME?</v>
      </c>
      <c r="T15" s="24" t="e">
        <f t="shared" ca="1" si="0"/>
        <v>#NAME?</v>
      </c>
      <c r="U15" s="24" t="e">
        <f t="shared" ca="1" si="0"/>
        <v>#NAME?</v>
      </c>
      <c r="V15" s="24" t="e">
        <f t="shared" ca="1" si="0"/>
        <v>#NAME?</v>
      </c>
      <c r="W15" s="24" t="e">
        <f t="shared" ca="1" si="0"/>
        <v>#NAME?</v>
      </c>
      <c r="X15" s="24" t="e">
        <f t="shared" ca="1" si="0"/>
        <v>#NAME?</v>
      </c>
      <c r="Y15" s="24" t="e">
        <f t="shared" ca="1" si="0"/>
        <v>#NAME?</v>
      </c>
      <c r="Z15" s="24" t="e">
        <f t="shared" ca="1" si="0"/>
        <v>#NAME?</v>
      </c>
    </row>
    <row r="16" spans="1:26" ht="18.75" customHeight="1">
      <c r="A16" s="5"/>
      <c r="B16" s="2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8.75" customHeight="1">
      <c r="A17" s="5"/>
      <c r="B17" s="2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8.75" customHeight="1">
      <c r="A18" s="5"/>
      <c r="B18" s="2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8.75" customHeight="1">
      <c r="A19" s="5"/>
      <c r="B19" s="2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8.75" customHeight="1">
      <c r="A20" s="5"/>
      <c r="B20" s="2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8.75" customHeight="1">
      <c r="A21" s="5"/>
      <c r="B21" s="25"/>
      <c r="C21" s="5"/>
      <c r="D21" s="5"/>
      <c r="E21" s="5"/>
      <c r="F21" s="5"/>
      <c r="G21" s="5"/>
      <c r="H21" s="5"/>
      <c r="I21" s="5"/>
      <c r="J21" s="5"/>
      <c r="K21" s="40" t="s">
        <v>47</v>
      </c>
      <c r="L21" s="41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8.75" customHeight="1">
      <c r="A22" s="5"/>
      <c r="B22" s="2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8.75" customHeight="1">
      <c r="A23" s="5"/>
      <c r="B23" s="2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8.75" customHeight="1">
      <c r="A24" s="5"/>
      <c r="B24" s="2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8.75" customHeight="1">
      <c r="A25" s="5"/>
      <c r="B25" s="2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8.75" customHeight="1">
      <c r="A26" s="5"/>
      <c r="B26" s="2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8.75" customHeight="1">
      <c r="A27" s="5"/>
      <c r="B27" s="2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8.75" customHeight="1">
      <c r="A28" s="5"/>
      <c r="B28" s="2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26"/>
      <c r="Y28" s="5"/>
      <c r="Z28" s="5"/>
    </row>
    <row r="29" spans="1:26" ht="18.75" customHeight="1">
      <c r="A29" s="5"/>
      <c r="B29" s="2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8.75" customHeight="1">
      <c r="A30" s="5"/>
      <c r="B30" s="2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8.75" customHeight="1">
      <c r="A31" s="5"/>
      <c r="B31" s="2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8.75" customHeight="1">
      <c r="A32" s="5"/>
      <c r="B32" s="2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8.75" customHeight="1">
      <c r="A33" s="5"/>
      <c r="B33" s="2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8.75" customHeight="1">
      <c r="A34" s="5"/>
      <c r="B34" s="2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8.75" customHeight="1">
      <c r="A35" s="5"/>
      <c r="B35" s="2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8.75" customHeight="1">
      <c r="A36" s="5"/>
      <c r="B36" s="2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8.75" customHeight="1">
      <c r="A37" s="5"/>
      <c r="B37" s="2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8.75" customHeight="1">
      <c r="A38" s="5"/>
      <c r="B38" s="2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8.75" customHeight="1">
      <c r="A39" s="5"/>
      <c r="B39" s="2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8.75" customHeight="1">
      <c r="A40" s="5"/>
      <c r="B40" s="2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8.75" customHeight="1">
      <c r="A41" s="5"/>
      <c r="B41" s="2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8.75" customHeight="1">
      <c r="A42" s="5"/>
      <c r="B42" s="2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8.75" customHeight="1">
      <c r="A43" s="5"/>
      <c r="B43" s="2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8.75" customHeight="1">
      <c r="A44" s="5"/>
      <c r="B44" s="2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8.75" customHeight="1">
      <c r="A45" s="5"/>
      <c r="B45" s="2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8.75" customHeight="1">
      <c r="A46" s="5"/>
      <c r="B46" s="2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8.75" customHeight="1">
      <c r="A47" s="5"/>
      <c r="B47" s="2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8.75" customHeight="1">
      <c r="A48" s="5"/>
      <c r="B48" s="2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8.75" customHeight="1">
      <c r="A49" s="5"/>
      <c r="B49" s="2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8.75" customHeight="1">
      <c r="A50" s="5"/>
      <c r="B50" s="2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8.75" customHeight="1">
      <c r="A51" s="5"/>
      <c r="B51" s="2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8.75" customHeight="1">
      <c r="A52" s="5"/>
      <c r="B52" s="2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8.75" customHeight="1">
      <c r="A53" s="5"/>
      <c r="B53" s="2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8.75" customHeight="1">
      <c r="A54" s="5"/>
      <c r="B54" s="2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8.75" customHeight="1">
      <c r="A55" s="5"/>
      <c r="B55" s="2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8.75" customHeight="1">
      <c r="A56" s="5"/>
      <c r="B56" s="2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8.75" customHeight="1">
      <c r="A57" s="5"/>
      <c r="B57" s="2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8.75" customHeight="1">
      <c r="A58" s="5"/>
      <c r="B58" s="2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8.75" customHeight="1">
      <c r="A59" s="5"/>
      <c r="B59" s="2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8.75" customHeight="1">
      <c r="A60" s="5"/>
      <c r="B60" s="2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8.75" customHeight="1">
      <c r="A61" s="5"/>
      <c r="B61" s="2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8.75" customHeight="1">
      <c r="A62" s="5"/>
      <c r="B62" s="2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8.75" customHeight="1">
      <c r="A63" s="5"/>
      <c r="B63" s="2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8.75" customHeight="1">
      <c r="A64" s="5"/>
      <c r="B64" s="2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8.75" customHeight="1">
      <c r="A65" s="5"/>
      <c r="B65" s="2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8.75" customHeight="1">
      <c r="A66" s="5"/>
      <c r="B66" s="2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8.75" customHeight="1">
      <c r="A67" s="5"/>
      <c r="B67" s="2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8.75" customHeight="1">
      <c r="A68" s="5"/>
      <c r="B68" s="2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8.75" customHeight="1">
      <c r="A69" s="5"/>
      <c r="B69" s="2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8.75" customHeight="1">
      <c r="A70" s="5"/>
      <c r="B70" s="2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8.75" customHeight="1">
      <c r="A71" s="5"/>
      <c r="B71" s="2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8.75" customHeight="1">
      <c r="A72" s="5"/>
      <c r="B72" s="2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8.75" customHeight="1">
      <c r="A73" s="5"/>
      <c r="B73" s="2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8.75" customHeight="1">
      <c r="A74" s="5"/>
      <c r="B74" s="2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8.75" customHeight="1">
      <c r="A75" s="5"/>
      <c r="B75" s="2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8.75" customHeight="1">
      <c r="A76" s="5"/>
      <c r="B76" s="2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8.75" customHeight="1">
      <c r="A77" s="5"/>
      <c r="B77" s="2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8.75" customHeight="1">
      <c r="A78" s="5"/>
      <c r="B78" s="2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8.75" customHeight="1">
      <c r="A79" s="5"/>
      <c r="B79" s="2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8.75" customHeight="1">
      <c r="A80" s="5"/>
      <c r="B80" s="2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8.75" customHeight="1">
      <c r="A81" s="5"/>
      <c r="B81" s="2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8.75" customHeight="1">
      <c r="A82" s="5"/>
      <c r="B82" s="2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8.75" customHeight="1">
      <c r="A83" s="5"/>
      <c r="B83" s="2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8.75" customHeight="1">
      <c r="A84" s="5"/>
      <c r="B84" s="2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8.75" customHeight="1">
      <c r="A85" s="5"/>
      <c r="B85" s="2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8.75" customHeight="1">
      <c r="A86" s="5"/>
      <c r="B86" s="2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8.75" customHeight="1">
      <c r="A87" s="5"/>
      <c r="B87" s="2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8.75" customHeight="1">
      <c r="A88" s="5"/>
      <c r="B88" s="2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8.75" customHeight="1">
      <c r="A89" s="5"/>
      <c r="B89" s="2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8.75" customHeight="1">
      <c r="A90" s="5"/>
      <c r="B90" s="2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8.75" customHeight="1">
      <c r="A91" s="5"/>
      <c r="B91" s="2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8.75" customHeight="1">
      <c r="A92" s="5"/>
      <c r="B92" s="2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8.75" customHeight="1">
      <c r="A93" s="5"/>
      <c r="B93" s="2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8.75" customHeight="1">
      <c r="A94" s="5"/>
      <c r="B94" s="2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8.75" customHeight="1">
      <c r="A95" s="5"/>
      <c r="B95" s="2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8.75" customHeight="1">
      <c r="A96" s="5"/>
      <c r="B96" s="2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8.75" customHeight="1">
      <c r="A97" s="5"/>
      <c r="B97" s="2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8.75" customHeight="1">
      <c r="A98" s="5"/>
      <c r="B98" s="2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8.75" customHeight="1">
      <c r="A99" s="5"/>
      <c r="B99" s="2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8.75" customHeight="1">
      <c r="A100" s="5"/>
      <c r="B100" s="2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8.75" customHeight="1">
      <c r="A101" s="5"/>
      <c r="B101" s="2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8.75" customHeight="1">
      <c r="A102" s="5"/>
      <c r="B102" s="2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8.75" customHeight="1">
      <c r="A103" s="5"/>
      <c r="B103" s="2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8.75" customHeight="1">
      <c r="A104" s="5"/>
      <c r="B104" s="2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8.75" customHeight="1">
      <c r="A105" s="5"/>
      <c r="B105" s="2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8.75" customHeight="1">
      <c r="A106" s="5"/>
      <c r="B106" s="2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8.75" customHeight="1">
      <c r="A107" s="5"/>
      <c r="B107" s="2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8.75" customHeight="1">
      <c r="A108" s="5"/>
      <c r="B108" s="2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8.75" customHeight="1">
      <c r="A109" s="5"/>
      <c r="B109" s="2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8.75" customHeight="1">
      <c r="A110" s="5"/>
      <c r="B110" s="2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8.75" customHeight="1">
      <c r="A111" s="5"/>
      <c r="B111" s="2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8.75" customHeight="1">
      <c r="A112" s="5"/>
      <c r="B112" s="2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8.75" customHeight="1">
      <c r="A113" s="5"/>
      <c r="B113" s="2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8.75" customHeight="1">
      <c r="A114" s="5"/>
      <c r="B114" s="2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8.75" customHeight="1">
      <c r="A115" s="5"/>
      <c r="B115" s="2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8.75" customHeight="1">
      <c r="A116" s="5"/>
      <c r="B116" s="2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8.75" customHeight="1">
      <c r="A117" s="5"/>
      <c r="B117" s="2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8.75" customHeight="1">
      <c r="A118" s="5"/>
      <c r="B118" s="2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8.75" customHeight="1">
      <c r="A119" s="5"/>
      <c r="B119" s="2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8.75" customHeight="1">
      <c r="A120" s="5"/>
      <c r="B120" s="2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8.75" customHeight="1">
      <c r="A121" s="5"/>
      <c r="B121" s="2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8.75" customHeight="1">
      <c r="A122" s="5"/>
      <c r="B122" s="2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8.75" customHeight="1">
      <c r="A123" s="5"/>
      <c r="B123" s="2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8.75" customHeight="1">
      <c r="A124" s="5"/>
      <c r="B124" s="2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8.75" customHeight="1">
      <c r="A125" s="5"/>
      <c r="B125" s="2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8.75" customHeight="1">
      <c r="A126" s="5"/>
      <c r="B126" s="2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8.75" customHeight="1">
      <c r="A127" s="5"/>
      <c r="B127" s="2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8.75" customHeight="1">
      <c r="A128" s="5"/>
      <c r="B128" s="2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8.75" customHeight="1">
      <c r="A129" s="5"/>
      <c r="B129" s="2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8.75" customHeight="1">
      <c r="A130" s="5"/>
      <c r="B130" s="2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8.75" customHeight="1">
      <c r="A131" s="5"/>
      <c r="B131" s="2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8.75" customHeight="1">
      <c r="A132" s="5"/>
      <c r="B132" s="2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8.75" customHeight="1">
      <c r="A133" s="5"/>
      <c r="B133" s="2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8.75" customHeight="1">
      <c r="A134" s="5"/>
      <c r="B134" s="2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8.75" customHeight="1">
      <c r="A135" s="5"/>
      <c r="B135" s="2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8.75" customHeight="1">
      <c r="A136" s="5"/>
      <c r="B136" s="2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8.75" customHeight="1">
      <c r="A137" s="5"/>
      <c r="B137" s="2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8.75" customHeight="1">
      <c r="A138" s="5"/>
      <c r="B138" s="2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8.75" customHeight="1">
      <c r="A139" s="5"/>
      <c r="B139" s="2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8.75" customHeight="1">
      <c r="A140" s="5"/>
      <c r="B140" s="2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8.75" customHeight="1">
      <c r="A141" s="5"/>
      <c r="B141" s="2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8.75" customHeight="1">
      <c r="A142" s="5"/>
      <c r="B142" s="2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8.75" customHeight="1">
      <c r="A143" s="5"/>
      <c r="B143" s="2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8.75" customHeight="1">
      <c r="A144" s="5"/>
      <c r="B144" s="2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8.75" customHeight="1">
      <c r="A145" s="5"/>
      <c r="B145" s="2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8.75" customHeight="1">
      <c r="A146" s="5"/>
      <c r="B146" s="2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8.75" customHeight="1">
      <c r="A147" s="5"/>
      <c r="B147" s="2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8.75" customHeight="1">
      <c r="A148" s="5"/>
      <c r="B148" s="2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8.75" customHeight="1">
      <c r="A149" s="5"/>
      <c r="B149" s="2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8.75" customHeight="1">
      <c r="A150" s="5"/>
      <c r="B150" s="2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8.75" customHeight="1">
      <c r="A151" s="5"/>
      <c r="B151" s="2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8.75" customHeight="1">
      <c r="A152" s="5"/>
      <c r="B152" s="2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8.75" customHeight="1">
      <c r="A153" s="5"/>
      <c r="B153" s="2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8.75" customHeight="1">
      <c r="A154" s="5"/>
      <c r="B154" s="2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8.75" customHeight="1">
      <c r="A155" s="5"/>
      <c r="B155" s="2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8.75" customHeight="1">
      <c r="A156" s="5"/>
      <c r="B156" s="2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8.75" customHeight="1">
      <c r="A157" s="5"/>
      <c r="B157" s="2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8.75" customHeight="1">
      <c r="A158" s="5"/>
      <c r="B158" s="2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8.75" customHeight="1">
      <c r="A159" s="5"/>
      <c r="B159" s="2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8.75" customHeight="1">
      <c r="A160" s="5"/>
      <c r="B160" s="2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8.75" customHeight="1">
      <c r="A161" s="5"/>
      <c r="B161" s="2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8.75" customHeight="1">
      <c r="A162" s="5"/>
      <c r="B162" s="2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8.75" customHeight="1">
      <c r="A163" s="5"/>
      <c r="B163" s="2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8.75" customHeight="1">
      <c r="A164" s="5"/>
      <c r="B164" s="2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8.75" customHeight="1">
      <c r="A165" s="5"/>
      <c r="B165" s="2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8.75" customHeight="1">
      <c r="A166" s="5"/>
      <c r="B166" s="2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8.75" customHeight="1">
      <c r="A167" s="5"/>
      <c r="B167" s="2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8.75" customHeight="1">
      <c r="A168" s="5"/>
      <c r="B168" s="2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8.75" customHeight="1">
      <c r="A169" s="5"/>
      <c r="B169" s="2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8.75" customHeight="1">
      <c r="A170" s="5"/>
      <c r="B170" s="2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8.75" customHeight="1">
      <c r="A171" s="5"/>
      <c r="B171" s="2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8.75" customHeight="1">
      <c r="A172" s="5"/>
      <c r="B172" s="2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8.75" customHeight="1">
      <c r="A173" s="5"/>
      <c r="B173" s="2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8.75" customHeight="1">
      <c r="A174" s="5"/>
      <c r="B174" s="2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8.75" customHeight="1">
      <c r="A175" s="5"/>
      <c r="B175" s="2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8.75" customHeight="1">
      <c r="A176" s="5"/>
      <c r="B176" s="2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8.75" customHeight="1">
      <c r="A177" s="5"/>
      <c r="B177" s="2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8.75" customHeight="1">
      <c r="A178" s="5"/>
      <c r="B178" s="2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8.75" customHeight="1">
      <c r="A179" s="5"/>
      <c r="B179" s="2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8.75" customHeight="1">
      <c r="A180" s="5"/>
      <c r="B180" s="2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8.75" customHeight="1">
      <c r="A181" s="5"/>
      <c r="B181" s="2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8.75" customHeight="1">
      <c r="A182" s="5"/>
      <c r="B182" s="2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8.75" customHeight="1">
      <c r="A183" s="5"/>
      <c r="B183" s="2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8.75" customHeight="1">
      <c r="A184" s="5"/>
      <c r="B184" s="2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8.75" customHeight="1">
      <c r="A185" s="5"/>
      <c r="B185" s="2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8.75" customHeight="1">
      <c r="A186" s="5"/>
      <c r="B186" s="2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8.75" customHeight="1">
      <c r="A187" s="5"/>
      <c r="B187" s="2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8.75" customHeight="1">
      <c r="A188" s="5"/>
      <c r="B188" s="2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8.75" customHeight="1">
      <c r="A189" s="5"/>
      <c r="B189" s="2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8.75" customHeight="1">
      <c r="A190" s="5"/>
      <c r="B190" s="2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8.75" customHeight="1">
      <c r="A191" s="5"/>
      <c r="B191" s="2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8.75" customHeight="1">
      <c r="A192" s="5"/>
      <c r="B192" s="2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8.75" customHeight="1">
      <c r="A193" s="5"/>
      <c r="B193" s="2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8.75" customHeight="1">
      <c r="A194" s="5"/>
      <c r="B194" s="2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8.75" customHeight="1">
      <c r="A195" s="5"/>
      <c r="B195" s="2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8.75" customHeight="1">
      <c r="A196" s="5"/>
      <c r="B196" s="2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8.75" customHeight="1">
      <c r="A197" s="5"/>
      <c r="B197" s="2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8.75" customHeight="1">
      <c r="A198" s="5"/>
      <c r="B198" s="2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8.75" customHeight="1">
      <c r="A199" s="5"/>
      <c r="B199" s="2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8.75" customHeight="1">
      <c r="A200" s="5"/>
      <c r="B200" s="2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8.75" customHeight="1">
      <c r="A201" s="5"/>
      <c r="B201" s="2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8.75" customHeight="1">
      <c r="A202" s="5"/>
      <c r="B202" s="2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8.75" customHeight="1">
      <c r="A203" s="5"/>
      <c r="B203" s="2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8.75" customHeight="1">
      <c r="A204" s="5"/>
      <c r="B204" s="2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8.75" customHeight="1">
      <c r="A205" s="5"/>
      <c r="B205" s="2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8.75" customHeight="1">
      <c r="A206" s="5"/>
      <c r="B206" s="2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8.75" customHeight="1">
      <c r="A207" s="5"/>
      <c r="B207" s="2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8.75" customHeight="1">
      <c r="A208" s="5"/>
      <c r="B208" s="2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8.75" customHeight="1">
      <c r="A209" s="5"/>
      <c r="B209" s="2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8.75" customHeight="1">
      <c r="A210" s="5"/>
      <c r="B210" s="2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8.75" customHeight="1">
      <c r="A211" s="5"/>
      <c r="B211" s="2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8.75" customHeight="1">
      <c r="A212" s="5"/>
      <c r="B212" s="2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8.75" customHeight="1">
      <c r="A213" s="5"/>
      <c r="B213" s="2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8.75" customHeight="1">
      <c r="A214" s="5"/>
      <c r="B214" s="2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8.75" customHeight="1">
      <c r="A215" s="5"/>
      <c r="B215" s="2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8.75" customHeight="1">
      <c r="A216" s="5"/>
      <c r="B216" s="2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8.75" customHeight="1">
      <c r="A217" s="5"/>
      <c r="B217" s="2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8.75" customHeight="1">
      <c r="A218" s="5"/>
      <c r="B218" s="2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8.75" customHeight="1">
      <c r="A219" s="5"/>
      <c r="B219" s="2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8.75" customHeight="1">
      <c r="A220" s="5"/>
      <c r="B220" s="2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8.75" customHeight="1">
      <c r="A221" s="5"/>
      <c r="B221" s="2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8.75" customHeight="1">
      <c r="A222" s="5"/>
      <c r="B222" s="2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8.75" customHeight="1">
      <c r="A223" s="5"/>
      <c r="B223" s="2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8.75" customHeight="1">
      <c r="A224" s="5"/>
      <c r="B224" s="2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8.75" customHeight="1">
      <c r="A225" s="5"/>
      <c r="B225" s="2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8.75" customHeight="1">
      <c r="A226" s="5"/>
      <c r="B226" s="2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8.75" customHeight="1">
      <c r="A227" s="5"/>
      <c r="B227" s="2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8.75" customHeight="1">
      <c r="A228" s="5"/>
      <c r="B228" s="2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8.75" customHeight="1">
      <c r="A229" s="5"/>
      <c r="B229" s="2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8.75" customHeight="1">
      <c r="A230" s="5"/>
      <c r="B230" s="2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8.75" customHeight="1">
      <c r="A231" s="5"/>
      <c r="B231" s="2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8.75" customHeight="1">
      <c r="A232" s="5"/>
      <c r="B232" s="2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8.75" customHeight="1">
      <c r="A233" s="5"/>
      <c r="B233" s="2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8.75" customHeight="1">
      <c r="A234" s="5"/>
      <c r="B234" s="2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8.75" customHeight="1">
      <c r="A235" s="5"/>
      <c r="B235" s="2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8.75" customHeight="1">
      <c r="A236" s="5"/>
      <c r="B236" s="2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8.75" customHeight="1">
      <c r="A237" s="5"/>
      <c r="B237" s="2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8.75" customHeight="1">
      <c r="A238" s="5"/>
      <c r="B238" s="2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8.75" customHeight="1">
      <c r="A239" s="5"/>
      <c r="B239" s="2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8.75" customHeight="1">
      <c r="A240" s="5"/>
      <c r="B240" s="2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8.75" customHeight="1">
      <c r="A241" s="5"/>
      <c r="B241" s="2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8.75" customHeight="1">
      <c r="A242" s="5"/>
      <c r="B242" s="2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8.75" customHeight="1">
      <c r="A243" s="5"/>
      <c r="B243" s="2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8.75" customHeight="1">
      <c r="A244" s="5"/>
      <c r="B244" s="2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8.75" customHeight="1">
      <c r="A245" s="5"/>
      <c r="B245" s="2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8.75" customHeight="1">
      <c r="A246" s="5"/>
      <c r="B246" s="2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8.75" customHeight="1">
      <c r="A247" s="5"/>
      <c r="B247" s="2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8.75" customHeight="1">
      <c r="A248" s="5"/>
      <c r="B248" s="2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8.75" customHeight="1">
      <c r="A249" s="5"/>
      <c r="B249" s="2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8.75" customHeight="1">
      <c r="A250" s="5"/>
      <c r="B250" s="2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8.75" customHeight="1">
      <c r="A251" s="5"/>
      <c r="B251" s="2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8.75" customHeight="1">
      <c r="A252" s="5"/>
      <c r="B252" s="2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8.75" customHeight="1">
      <c r="A253" s="5"/>
      <c r="B253" s="2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8.75" customHeight="1">
      <c r="A254" s="5"/>
      <c r="B254" s="2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8.75" customHeight="1">
      <c r="A255" s="5"/>
      <c r="B255" s="2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8.75" customHeight="1">
      <c r="A256" s="5"/>
      <c r="B256" s="2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8.75" customHeight="1">
      <c r="A257" s="5"/>
      <c r="B257" s="2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8.75" customHeight="1">
      <c r="A258" s="5"/>
      <c r="B258" s="2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8.75" customHeight="1">
      <c r="A259" s="5"/>
      <c r="B259" s="2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8.75" customHeight="1">
      <c r="A260" s="5"/>
      <c r="B260" s="2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8.75" customHeight="1">
      <c r="A261" s="5"/>
      <c r="B261" s="2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8.75" customHeight="1">
      <c r="A262" s="5"/>
      <c r="B262" s="2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8.75" customHeight="1">
      <c r="A263" s="5"/>
      <c r="B263" s="2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8.75" customHeight="1">
      <c r="A264" s="5"/>
      <c r="B264" s="2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8.75" customHeight="1">
      <c r="A265" s="5"/>
      <c r="B265" s="2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8.75" customHeight="1">
      <c r="A266" s="5"/>
      <c r="B266" s="2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8.75" customHeight="1">
      <c r="A267" s="5"/>
      <c r="B267" s="2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8.75" customHeight="1">
      <c r="A268" s="5"/>
      <c r="B268" s="2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8.75" customHeight="1">
      <c r="A269" s="5"/>
      <c r="B269" s="2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8.75" customHeight="1">
      <c r="A270" s="5"/>
      <c r="B270" s="2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8.75" customHeight="1">
      <c r="A271" s="5"/>
      <c r="B271" s="2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8.75" customHeight="1">
      <c r="A272" s="5"/>
      <c r="B272" s="2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8.75" customHeight="1">
      <c r="A273" s="5"/>
      <c r="B273" s="2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8.75" customHeight="1">
      <c r="A274" s="5"/>
      <c r="B274" s="2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8.75" customHeight="1">
      <c r="A275" s="5"/>
      <c r="B275" s="2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8.75" customHeight="1">
      <c r="A276" s="5"/>
      <c r="B276" s="2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8.75" customHeight="1">
      <c r="A277" s="5"/>
      <c r="B277" s="2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8.75" customHeight="1">
      <c r="A278" s="5"/>
      <c r="B278" s="2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8.75" customHeight="1">
      <c r="A279" s="5"/>
      <c r="B279" s="2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8.75" customHeight="1">
      <c r="A280" s="5"/>
      <c r="B280" s="2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8.75" customHeight="1">
      <c r="A281" s="5"/>
      <c r="B281" s="2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8.75" customHeight="1">
      <c r="A282" s="5"/>
      <c r="B282" s="2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8.75" customHeight="1">
      <c r="A283" s="5"/>
      <c r="B283" s="2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8.75" customHeight="1">
      <c r="A284" s="5"/>
      <c r="B284" s="2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8.75" customHeight="1">
      <c r="A285" s="5"/>
      <c r="B285" s="2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8.75" customHeight="1">
      <c r="A286" s="5"/>
      <c r="B286" s="2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8.75" customHeight="1">
      <c r="A287" s="5"/>
      <c r="B287" s="2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8.75" customHeight="1">
      <c r="A288" s="5"/>
      <c r="B288" s="2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8.75" customHeight="1">
      <c r="A289" s="5"/>
      <c r="B289" s="2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8.75" customHeight="1">
      <c r="A290" s="5"/>
      <c r="B290" s="2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8.75" customHeight="1">
      <c r="A291" s="5"/>
      <c r="B291" s="2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8.75" customHeight="1">
      <c r="A292" s="5"/>
      <c r="B292" s="2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8.75" customHeight="1">
      <c r="A293" s="5"/>
      <c r="B293" s="2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8.75" customHeight="1">
      <c r="A294" s="5"/>
      <c r="B294" s="2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8.75" customHeight="1">
      <c r="A295" s="5"/>
      <c r="B295" s="2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8.75" customHeight="1">
      <c r="A296" s="5"/>
      <c r="B296" s="2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8.75" customHeight="1">
      <c r="A297" s="5"/>
      <c r="B297" s="2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8.75" customHeight="1">
      <c r="A298" s="5"/>
      <c r="B298" s="2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8.75" customHeight="1">
      <c r="A299" s="5"/>
      <c r="B299" s="2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8.75" customHeight="1">
      <c r="A300" s="5"/>
      <c r="B300" s="2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8.75" customHeight="1">
      <c r="A301" s="5"/>
      <c r="B301" s="2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8.75" customHeight="1">
      <c r="A302" s="5"/>
      <c r="B302" s="2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8.75" customHeight="1">
      <c r="A303" s="5"/>
      <c r="B303" s="2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8.75" customHeight="1">
      <c r="A304" s="5"/>
      <c r="B304" s="2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8.75" customHeight="1">
      <c r="A305" s="5"/>
      <c r="B305" s="2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8.75" customHeight="1">
      <c r="A306" s="5"/>
      <c r="B306" s="2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8.75" customHeight="1">
      <c r="A307" s="5"/>
      <c r="B307" s="2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8.75" customHeight="1">
      <c r="A308" s="5"/>
      <c r="B308" s="2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8.75" customHeight="1">
      <c r="A309" s="5"/>
      <c r="B309" s="2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8.75" customHeight="1">
      <c r="A310" s="5"/>
      <c r="B310" s="2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8.75" customHeight="1">
      <c r="A311" s="5"/>
      <c r="B311" s="2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8.75" customHeight="1">
      <c r="A312" s="5"/>
      <c r="B312" s="2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8.75" customHeight="1">
      <c r="A313" s="5"/>
      <c r="B313" s="2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8.75" customHeight="1">
      <c r="A314" s="5"/>
      <c r="B314" s="2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8.75" customHeight="1">
      <c r="A315" s="5"/>
      <c r="B315" s="2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8.75" customHeight="1">
      <c r="A316" s="5"/>
      <c r="B316" s="2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8.75" customHeight="1">
      <c r="A317" s="5"/>
      <c r="B317" s="2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8.75" customHeight="1">
      <c r="A318" s="5"/>
      <c r="B318" s="2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8.75" customHeight="1">
      <c r="A319" s="5"/>
      <c r="B319" s="2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8.75" customHeight="1">
      <c r="A320" s="5"/>
      <c r="B320" s="2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8.75" customHeight="1">
      <c r="A321" s="5"/>
      <c r="B321" s="2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8.75" customHeight="1">
      <c r="A322" s="5"/>
      <c r="B322" s="2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8.75" customHeight="1">
      <c r="A323" s="5"/>
      <c r="B323" s="2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8.75" customHeight="1">
      <c r="A324" s="5"/>
      <c r="B324" s="2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8.75" customHeight="1">
      <c r="A325" s="5"/>
      <c r="B325" s="2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8.75" customHeight="1">
      <c r="A326" s="5"/>
      <c r="B326" s="2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8.75" customHeight="1">
      <c r="A327" s="5"/>
      <c r="B327" s="2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8.75" customHeight="1">
      <c r="A328" s="5"/>
      <c r="B328" s="2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8.75" customHeight="1">
      <c r="A329" s="5"/>
      <c r="B329" s="2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8.75" customHeight="1">
      <c r="A330" s="5"/>
      <c r="B330" s="2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8.75" customHeight="1">
      <c r="A331" s="5"/>
      <c r="B331" s="2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8.75" customHeight="1">
      <c r="A332" s="5"/>
      <c r="B332" s="2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8.75" customHeight="1">
      <c r="A333" s="5"/>
      <c r="B333" s="2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8.75" customHeight="1">
      <c r="A334" s="5"/>
      <c r="B334" s="2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8.75" customHeight="1">
      <c r="A335" s="5"/>
      <c r="B335" s="2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8.75" customHeight="1">
      <c r="A336" s="5"/>
      <c r="B336" s="2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8.75" customHeight="1">
      <c r="A337" s="5"/>
      <c r="B337" s="2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8.75" customHeight="1">
      <c r="A338" s="5"/>
      <c r="B338" s="2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8.75" customHeight="1">
      <c r="A339" s="5"/>
      <c r="B339" s="2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8.75" customHeight="1">
      <c r="A340" s="5"/>
      <c r="B340" s="2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8.75" customHeight="1">
      <c r="A341" s="5"/>
      <c r="B341" s="2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8.75" customHeight="1">
      <c r="A342" s="5"/>
      <c r="B342" s="2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8.75" customHeight="1">
      <c r="A343" s="5"/>
      <c r="B343" s="2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8.75" customHeight="1">
      <c r="A344" s="5"/>
      <c r="B344" s="2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8.75" customHeight="1">
      <c r="A345" s="5"/>
      <c r="B345" s="2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8.75" customHeight="1">
      <c r="A346" s="5"/>
      <c r="B346" s="2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8.75" customHeight="1">
      <c r="A347" s="5"/>
      <c r="B347" s="2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8.75" customHeight="1">
      <c r="A348" s="5"/>
      <c r="B348" s="2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8.75" customHeight="1">
      <c r="A349" s="5"/>
      <c r="B349" s="2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8.75" customHeight="1">
      <c r="A350" s="5"/>
      <c r="B350" s="2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8.75" customHeight="1">
      <c r="A351" s="5"/>
      <c r="B351" s="2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8.75" customHeight="1">
      <c r="A352" s="5"/>
      <c r="B352" s="2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8.75" customHeight="1">
      <c r="A353" s="5"/>
      <c r="B353" s="2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8.75" customHeight="1">
      <c r="A354" s="5"/>
      <c r="B354" s="2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8.75" customHeight="1">
      <c r="A355" s="5"/>
      <c r="B355" s="2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8.75" customHeight="1">
      <c r="A356" s="5"/>
      <c r="B356" s="2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8.75" customHeight="1">
      <c r="A357" s="5"/>
      <c r="B357" s="2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8.75" customHeight="1">
      <c r="A358" s="5"/>
      <c r="B358" s="2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8.75" customHeight="1">
      <c r="A359" s="5"/>
      <c r="B359" s="2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8.75" customHeight="1">
      <c r="A360" s="5"/>
      <c r="B360" s="2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8.75" customHeight="1">
      <c r="A361" s="5"/>
      <c r="B361" s="2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8.75" customHeight="1">
      <c r="A362" s="5"/>
      <c r="B362" s="2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8.75" customHeight="1">
      <c r="A363" s="5"/>
      <c r="B363" s="2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8.75" customHeight="1">
      <c r="A364" s="5"/>
      <c r="B364" s="2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8.75" customHeight="1">
      <c r="A365" s="5"/>
      <c r="B365" s="2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8.75" customHeight="1">
      <c r="A366" s="5"/>
      <c r="B366" s="2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8.75" customHeight="1">
      <c r="A367" s="5"/>
      <c r="B367" s="2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8.75" customHeight="1">
      <c r="A368" s="5"/>
      <c r="B368" s="2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8.75" customHeight="1">
      <c r="A369" s="5"/>
      <c r="B369" s="2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8.75" customHeight="1">
      <c r="A370" s="5"/>
      <c r="B370" s="2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8.75" customHeight="1">
      <c r="A371" s="5"/>
      <c r="B371" s="2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8.75" customHeight="1">
      <c r="A372" s="5"/>
      <c r="B372" s="2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8.75" customHeight="1">
      <c r="A373" s="5"/>
      <c r="B373" s="2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8.75" customHeight="1">
      <c r="A374" s="5"/>
      <c r="B374" s="2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8.75" customHeight="1">
      <c r="A375" s="5"/>
      <c r="B375" s="2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8.75" customHeight="1">
      <c r="A376" s="5"/>
      <c r="B376" s="2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8.75" customHeight="1">
      <c r="A377" s="5"/>
      <c r="B377" s="2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8.75" customHeight="1">
      <c r="A378" s="5"/>
      <c r="B378" s="2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8.75" customHeight="1">
      <c r="A379" s="5"/>
      <c r="B379" s="2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8.75" customHeight="1">
      <c r="A380" s="5"/>
      <c r="B380" s="2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8.75" customHeight="1">
      <c r="A381" s="5"/>
      <c r="B381" s="2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8.75" customHeight="1">
      <c r="A382" s="5"/>
      <c r="B382" s="2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8.75" customHeight="1">
      <c r="A383" s="5"/>
      <c r="B383" s="2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8.75" customHeight="1">
      <c r="A384" s="5"/>
      <c r="B384" s="2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8.75" customHeight="1">
      <c r="A385" s="5"/>
      <c r="B385" s="2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8.75" customHeight="1">
      <c r="A386" s="5"/>
      <c r="B386" s="2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8.75" customHeight="1">
      <c r="A387" s="5"/>
      <c r="B387" s="2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8.75" customHeight="1">
      <c r="A388" s="5"/>
      <c r="B388" s="2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8.75" customHeight="1">
      <c r="A389" s="5"/>
      <c r="B389" s="2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8.75" customHeight="1">
      <c r="A390" s="5"/>
      <c r="B390" s="2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8.75" customHeight="1">
      <c r="A391" s="5"/>
      <c r="B391" s="2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8.75" customHeight="1">
      <c r="A392" s="5"/>
      <c r="B392" s="2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8.75" customHeight="1">
      <c r="A393" s="5"/>
      <c r="B393" s="2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8.75" customHeight="1">
      <c r="A394" s="5"/>
      <c r="B394" s="2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8.75" customHeight="1">
      <c r="A395" s="5"/>
      <c r="B395" s="2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8.75" customHeight="1">
      <c r="A396" s="5"/>
      <c r="B396" s="2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8.75" customHeight="1">
      <c r="A397" s="5"/>
      <c r="B397" s="2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8.75" customHeight="1">
      <c r="A398" s="5"/>
      <c r="B398" s="2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8.75" customHeight="1">
      <c r="A399" s="5"/>
      <c r="B399" s="2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8.75" customHeight="1">
      <c r="A400" s="5"/>
      <c r="B400" s="2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8.75" customHeight="1">
      <c r="A401" s="5"/>
      <c r="B401" s="2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8.75" customHeight="1">
      <c r="A402" s="5"/>
      <c r="B402" s="2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8.75" customHeight="1">
      <c r="A403" s="5"/>
      <c r="B403" s="2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8.75" customHeight="1">
      <c r="A404" s="5"/>
      <c r="B404" s="2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8.75" customHeight="1">
      <c r="A405" s="5"/>
      <c r="B405" s="2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8.75" customHeight="1">
      <c r="A406" s="5"/>
      <c r="B406" s="2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8.75" customHeight="1">
      <c r="A407" s="5"/>
      <c r="B407" s="2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8.75" customHeight="1">
      <c r="A408" s="5"/>
      <c r="B408" s="2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8.75" customHeight="1">
      <c r="A409" s="5"/>
      <c r="B409" s="2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8.75" customHeight="1">
      <c r="A410" s="5"/>
      <c r="B410" s="2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8.75" customHeight="1">
      <c r="A411" s="5"/>
      <c r="B411" s="2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8.75" customHeight="1">
      <c r="A412" s="5"/>
      <c r="B412" s="2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8.75" customHeight="1">
      <c r="A413" s="5"/>
      <c r="B413" s="2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8.75" customHeight="1">
      <c r="A414" s="5"/>
      <c r="B414" s="2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8.75" customHeight="1">
      <c r="A415" s="5"/>
      <c r="B415" s="2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8.75" customHeight="1">
      <c r="A416" s="5"/>
      <c r="B416" s="2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8.75" customHeight="1">
      <c r="A417" s="5"/>
      <c r="B417" s="2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8.75" customHeight="1">
      <c r="A418" s="5"/>
      <c r="B418" s="2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8.75" customHeight="1">
      <c r="A419" s="5"/>
      <c r="B419" s="2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8.75" customHeight="1">
      <c r="A420" s="5"/>
      <c r="B420" s="2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8.75" customHeight="1">
      <c r="A421" s="5"/>
      <c r="B421" s="2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8.75" customHeight="1">
      <c r="A422" s="5"/>
      <c r="B422" s="2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8.75" customHeight="1">
      <c r="A423" s="5"/>
      <c r="B423" s="2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8.75" customHeight="1">
      <c r="A424" s="5"/>
      <c r="B424" s="2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8.75" customHeight="1">
      <c r="A425" s="5"/>
      <c r="B425" s="2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8.75" customHeight="1">
      <c r="A426" s="5"/>
      <c r="B426" s="2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8.75" customHeight="1">
      <c r="A427" s="5"/>
      <c r="B427" s="2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8.75" customHeight="1">
      <c r="A428" s="5"/>
      <c r="B428" s="2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8.75" customHeight="1">
      <c r="A429" s="5"/>
      <c r="B429" s="2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8.75" customHeight="1">
      <c r="A430" s="5"/>
      <c r="B430" s="2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8.75" customHeight="1">
      <c r="A431" s="5"/>
      <c r="B431" s="2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8.75" customHeight="1">
      <c r="A432" s="5"/>
      <c r="B432" s="2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8.75" customHeight="1">
      <c r="A433" s="5"/>
      <c r="B433" s="2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8.75" customHeight="1">
      <c r="A434" s="5"/>
      <c r="B434" s="2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8.75" customHeight="1">
      <c r="A435" s="5"/>
      <c r="B435" s="2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8.75" customHeight="1">
      <c r="A436" s="5"/>
      <c r="B436" s="2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8.75" customHeight="1">
      <c r="A437" s="5"/>
      <c r="B437" s="2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8.75" customHeight="1">
      <c r="A438" s="5"/>
      <c r="B438" s="2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8.75" customHeight="1">
      <c r="A439" s="5"/>
      <c r="B439" s="2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8.75" customHeight="1">
      <c r="A440" s="5"/>
      <c r="B440" s="2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8.75" customHeight="1">
      <c r="A441" s="5"/>
      <c r="B441" s="2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8.75" customHeight="1">
      <c r="A442" s="5"/>
      <c r="B442" s="2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8.75" customHeight="1">
      <c r="A443" s="5"/>
      <c r="B443" s="2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8.75" customHeight="1">
      <c r="A444" s="5"/>
      <c r="B444" s="2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8.75" customHeight="1">
      <c r="A445" s="5"/>
      <c r="B445" s="2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8.75" customHeight="1">
      <c r="A446" s="5"/>
      <c r="B446" s="2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8.75" customHeight="1">
      <c r="A447" s="5"/>
      <c r="B447" s="2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8.75" customHeight="1">
      <c r="A448" s="5"/>
      <c r="B448" s="2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8.75" customHeight="1">
      <c r="A449" s="5"/>
      <c r="B449" s="2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8.75" customHeight="1">
      <c r="A450" s="5"/>
      <c r="B450" s="2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8.75" customHeight="1">
      <c r="A451" s="5"/>
      <c r="B451" s="2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8.75" customHeight="1">
      <c r="A452" s="5"/>
      <c r="B452" s="2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8.75" customHeight="1">
      <c r="A453" s="5"/>
      <c r="B453" s="2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8.75" customHeight="1">
      <c r="A454" s="5"/>
      <c r="B454" s="2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8.75" customHeight="1">
      <c r="A455" s="5"/>
      <c r="B455" s="2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8.75" customHeight="1">
      <c r="A456" s="5"/>
      <c r="B456" s="2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8.75" customHeight="1">
      <c r="A457" s="5"/>
      <c r="B457" s="2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8.75" customHeight="1">
      <c r="A458" s="5"/>
      <c r="B458" s="2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8.75" customHeight="1">
      <c r="A459" s="5"/>
      <c r="B459" s="2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8.75" customHeight="1">
      <c r="A460" s="5"/>
      <c r="B460" s="2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8.75" customHeight="1">
      <c r="A461" s="5"/>
      <c r="B461" s="2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8.75" customHeight="1">
      <c r="A462" s="5"/>
      <c r="B462" s="2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8.75" customHeight="1">
      <c r="A463" s="5"/>
      <c r="B463" s="2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8.75" customHeight="1">
      <c r="A464" s="5"/>
      <c r="B464" s="2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8.75" customHeight="1">
      <c r="A465" s="5"/>
      <c r="B465" s="2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8.75" customHeight="1">
      <c r="A466" s="5"/>
      <c r="B466" s="2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8.75" customHeight="1">
      <c r="A467" s="5"/>
      <c r="B467" s="2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8.75" customHeight="1">
      <c r="A468" s="5"/>
      <c r="B468" s="2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8.75" customHeight="1">
      <c r="A469" s="5"/>
      <c r="B469" s="2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8.75" customHeight="1">
      <c r="A470" s="5"/>
      <c r="B470" s="2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8.75" customHeight="1">
      <c r="A471" s="5"/>
      <c r="B471" s="2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8.75" customHeight="1">
      <c r="A472" s="5"/>
      <c r="B472" s="2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8.75" customHeight="1">
      <c r="A473" s="5"/>
      <c r="B473" s="2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8.75" customHeight="1">
      <c r="A474" s="5"/>
      <c r="B474" s="2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8.75" customHeight="1">
      <c r="A475" s="5"/>
      <c r="B475" s="2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8.75" customHeight="1">
      <c r="A476" s="5"/>
      <c r="B476" s="2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8.75" customHeight="1">
      <c r="A477" s="5"/>
      <c r="B477" s="2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8.75" customHeight="1">
      <c r="A478" s="5"/>
      <c r="B478" s="2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8.75" customHeight="1">
      <c r="A479" s="5"/>
      <c r="B479" s="2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8.75" customHeight="1">
      <c r="A480" s="5"/>
      <c r="B480" s="2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8.75" customHeight="1">
      <c r="A481" s="5"/>
      <c r="B481" s="2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8.75" customHeight="1">
      <c r="A482" s="5"/>
      <c r="B482" s="2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8.75" customHeight="1">
      <c r="A483" s="5"/>
      <c r="B483" s="2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8.75" customHeight="1">
      <c r="A484" s="5"/>
      <c r="B484" s="2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8.75" customHeight="1">
      <c r="A485" s="5"/>
      <c r="B485" s="2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8.75" customHeight="1">
      <c r="A486" s="5"/>
      <c r="B486" s="2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8.75" customHeight="1">
      <c r="A487" s="5"/>
      <c r="B487" s="2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8.75" customHeight="1">
      <c r="A488" s="5"/>
      <c r="B488" s="2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8.75" customHeight="1">
      <c r="A489" s="5"/>
      <c r="B489" s="2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8.75" customHeight="1">
      <c r="A490" s="5"/>
      <c r="B490" s="2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8.75" customHeight="1">
      <c r="A491" s="5"/>
      <c r="B491" s="2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8.75" customHeight="1">
      <c r="A492" s="5"/>
      <c r="B492" s="2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8.75" customHeight="1">
      <c r="A493" s="5"/>
      <c r="B493" s="2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8.75" customHeight="1">
      <c r="A494" s="5"/>
      <c r="B494" s="2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8.75" customHeight="1">
      <c r="A495" s="5"/>
      <c r="B495" s="2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8.75" customHeight="1">
      <c r="A496" s="5"/>
      <c r="B496" s="2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8.75" customHeight="1">
      <c r="A497" s="5"/>
      <c r="B497" s="2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8.75" customHeight="1">
      <c r="A498" s="5"/>
      <c r="B498" s="2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8.75" customHeight="1">
      <c r="A499" s="5"/>
      <c r="B499" s="2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8.75" customHeight="1">
      <c r="A500" s="5"/>
      <c r="B500" s="2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8.75" customHeight="1">
      <c r="A501" s="5"/>
      <c r="B501" s="2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8.75" customHeight="1">
      <c r="A502" s="5"/>
      <c r="B502" s="2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8.75" customHeight="1">
      <c r="A503" s="5"/>
      <c r="B503" s="2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8.75" customHeight="1">
      <c r="A504" s="5"/>
      <c r="B504" s="2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8.75" customHeight="1">
      <c r="A505" s="5"/>
      <c r="B505" s="2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8.75" customHeight="1">
      <c r="A506" s="5"/>
      <c r="B506" s="2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8.75" customHeight="1">
      <c r="A507" s="5"/>
      <c r="B507" s="2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8.75" customHeight="1">
      <c r="A508" s="5"/>
      <c r="B508" s="2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8.75" customHeight="1">
      <c r="A509" s="5"/>
      <c r="B509" s="2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8.75" customHeight="1">
      <c r="A510" s="5"/>
      <c r="B510" s="2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8.75" customHeight="1">
      <c r="A511" s="5"/>
      <c r="B511" s="2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8.75" customHeight="1">
      <c r="A512" s="5"/>
      <c r="B512" s="2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8.75" customHeight="1">
      <c r="A513" s="5"/>
      <c r="B513" s="2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8.75" customHeight="1">
      <c r="A514" s="5"/>
      <c r="B514" s="2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8.75" customHeight="1">
      <c r="A515" s="5"/>
      <c r="B515" s="2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8.75" customHeight="1">
      <c r="A516" s="5"/>
      <c r="B516" s="2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8.75" customHeight="1">
      <c r="A517" s="5"/>
      <c r="B517" s="2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8.75" customHeight="1">
      <c r="A518" s="5"/>
      <c r="B518" s="2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8.75" customHeight="1">
      <c r="A519" s="5"/>
      <c r="B519" s="2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8.75" customHeight="1">
      <c r="A520" s="5"/>
      <c r="B520" s="2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8.75" customHeight="1">
      <c r="A521" s="5"/>
      <c r="B521" s="2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8.75" customHeight="1">
      <c r="A522" s="5"/>
      <c r="B522" s="2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8.75" customHeight="1">
      <c r="A523" s="5"/>
      <c r="B523" s="2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8.75" customHeight="1">
      <c r="A524" s="5"/>
      <c r="B524" s="2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8.75" customHeight="1">
      <c r="A525" s="5"/>
      <c r="B525" s="2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8.75" customHeight="1">
      <c r="A526" s="5"/>
      <c r="B526" s="2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8.75" customHeight="1">
      <c r="A527" s="5"/>
      <c r="B527" s="2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8.75" customHeight="1">
      <c r="A528" s="5"/>
      <c r="B528" s="2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8.75" customHeight="1">
      <c r="A529" s="5"/>
      <c r="B529" s="2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8.75" customHeight="1">
      <c r="A530" s="5"/>
      <c r="B530" s="2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8.75" customHeight="1">
      <c r="A531" s="5"/>
      <c r="B531" s="2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8.75" customHeight="1">
      <c r="A532" s="5"/>
      <c r="B532" s="2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8.75" customHeight="1">
      <c r="A533" s="5"/>
      <c r="B533" s="2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8.75" customHeight="1">
      <c r="A534" s="5"/>
      <c r="B534" s="2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8.75" customHeight="1">
      <c r="A535" s="5"/>
      <c r="B535" s="2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8.75" customHeight="1">
      <c r="A536" s="5"/>
      <c r="B536" s="2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8.75" customHeight="1">
      <c r="A537" s="5"/>
      <c r="B537" s="2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8.75" customHeight="1">
      <c r="A538" s="5"/>
      <c r="B538" s="2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8.75" customHeight="1">
      <c r="A539" s="5"/>
      <c r="B539" s="2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8.75" customHeight="1">
      <c r="A540" s="5"/>
      <c r="B540" s="2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8.75" customHeight="1">
      <c r="A541" s="5"/>
      <c r="B541" s="2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8.75" customHeight="1">
      <c r="A542" s="5"/>
      <c r="B542" s="2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8.75" customHeight="1">
      <c r="A543" s="5"/>
      <c r="B543" s="2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8.75" customHeight="1">
      <c r="A544" s="5"/>
      <c r="B544" s="2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8.75" customHeight="1">
      <c r="A545" s="5"/>
      <c r="B545" s="2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8.75" customHeight="1">
      <c r="A546" s="5"/>
      <c r="B546" s="2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8.75" customHeight="1">
      <c r="A547" s="5"/>
      <c r="B547" s="2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8.75" customHeight="1">
      <c r="A548" s="5"/>
      <c r="B548" s="2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8.75" customHeight="1">
      <c r="A549" s="5"/>
      <c r="B549" s="2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8.75" customHeight="1">
      <c r="A550" s="5"/>
      <c r="B550" s="2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8.75" customHeight="1">
      <c r="A551" s="5"/>
      <c r="B551" s="2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8.75" customHeight="1">
      <c r="A552" s="5"/>
      <c r="B552" s="2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8.75" customHeight="1">
      <c r="A553" s="5"/>
      <c r="B553" s="2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8.75" customHeight="1">
      <c r="A554" s="5"/>
      <c r="B554" s="2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8.75" customHeight="1">
      <c r="A555" s="5"/>
      <c r="B555" s="2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8.75" customHeight="1">
      <c r="A556" s="5"/>
      <c r="B556" s="2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8.75" customHeight="1">
      <c r="A557" s="5"/>
      <c r="B557" s="2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8.75" customHeight="1">
      <c r="A558" s="5"/>
      <c r="B558" s="2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8.75" customHeight="1">
      <c r="A559" s="5"/>
      <c r="B559" s="2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8.75" customHeight="1">
      <c r="A560" s="5"/>
      <c r="B560" s="2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8.75" customHeight="1">
      <c r="A561" s="5"/>
      <c r="B561" s="2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8.75" customHeight="1">
      <c r="A562" s="5"/>
      <c r="B562" s="2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8.75" customHeight="1">
      <c r="A563" s="5"/>
      <c r="B563" s="2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8.75" customHeight="1">
      <c r="A564" s="5"/>
      <c r="B564" s="2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8.75" customHeight="1">
      <c r="A565" s="5"/>
      <c r="B565" s="2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8.75" customHeight="1">
      <c r="A566" s="5"/>
      <c r="B566" s="2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8.75" customHeight="1">
      <c r="A567" s="5"/>
      <c r="B567" s="2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8.75" customHeight="1">
      <c r="A568" s="5"/>
      <c r="B568" s="2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8.75" customHeight="1">
      <c r="A569" s="5"/>
      <c r="B569" s="2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8.75" customHeight="1">
      <c r="A570" s="5"/>
      <c r="B570" s="2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8.75" customHeight="1">
      <c r="A571" s="5"/>
      <c r="B571" s="2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8.75" customHeight="1">
      <c r="A572" s="5"/>
      <c r="B572" s="2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8.75" customHeight="1">
      <c r="A573" s="5"/>
      <c r="B573" s="2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8.75" customHeight="1">
      <c r="A574" s="5"/>
      <c r="B574" s="2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8.75" customHeight="1">
      <c r="A575" s="5"/>
      <c r="B575" s="2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8.75" customHeight="1">
      <c r="A576" s="5"/>
      <c r="B576" s="2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8.75" customHeight="1">
      <c r="A577" s="5"/>
      <c r="B577" s="2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8.75" customHeight="1">
      <c r="A578" s="5"/>
      <c r="B578" s="2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8.75" customHeight="1">
      <c r="A579" s="5"/>
      <c r="B579" s="2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8.75" customHeight="1">
      <c r="A580" s="5"/>
      <c r="B580" s="2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8.75" customHeight="1">
      <c r="A581" s="5"/>
      <c r="B581" s="2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8.75" customHeight="1">
      <c r="A582" s="5"/>
      <c r="B582" s="2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8.75" customHeight="1">
      <c r="A583" s="5"/>
      <c r="B583" s="2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8.75" customHeight="1">
      <c r="A584" s="5"/>
      <c r="B584" s="2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8.75" customHeight="1">
      <c r="A585" s="5"/>
      <c r="B585" s="2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8.75" customHeight="1">
      <c r="A586" s="5"/>
      <c r="B586" s="2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8.75" customHeight="1">
      <c r="A587" s="5"/>
      <c r="B587" s="2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8.75" customHeight="1">
      <c r="A588" s="5"/>
      <c r="B588" s="2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8.75" customHeight="1">
      <c r="A589" s="5"/>
      <c r="B589" s="2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8.75" customHeight="1">
      <c r="A590" s="5"/>
      <c r="B590" s="2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8.75" customHeight="1">
      <c r="A591" s="5"/>
      <c r="B591" s="2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8.75" customHeight="1">
      <c r="A592" s="5"/>
      <c r="B592" s="2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8.75" customHeight="1">
      <c r="A593" s="5"/>
      <c r="B593" s="2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8.75" customHeight="1">
      <c r="A594" s="5"/>
      <c r="B594" s="2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8.75" customHeight="1">
      <c r="A595" s="5"/>
      <c r="B595" s="2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8.75" customHeight="1">
      <c r="A596" s="5"/>
      <c r="B596" s="2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8.75" customHeight="1">
      <c r="A597" s="5"/>
      <c r="B597" s="2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8.75" customHeight="1">
      <c r="A598" s="5"/>
      <c r="B598" s="2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8.75" customHeight="1">
      <c r="A599" s="5"/>
      <c r="B599" s="2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8.75" customHeight="1">
      <c r="A600" s="5"/>
      <c r="B600" s="2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8.75" customHeight="1">
      <c r="A601" s="5"/>
      <c r="B601" s="2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8.75" customHeight="1">
      <c r="A602" s="5"/>
      <c r="B602" s="2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8.75" customHeight="1">
      <c r="A603" s="5"/>
      <c r="B603" s="2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8.75" customHeight="1">
      <c r="A604" s="5"/>
      <c r="B604" s="2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8.75" customHeight="1">
      <c r="A605" s="5"/>
      <c r="B605" s="2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8.75" customHeight="1">
      <c r="A606" s="5"/>
      <c r="B606" s="2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8.75" customHeight="1">
      <c r="A607" s="5"/>
      <c r="B607" s="2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8.75" customHeight="1">
      <c r="A608" s="5"/>
      <c r="B608" s="2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8.75" customHeight="1">
      <c r="A609" s="5"/>
      <c r="B609" s="2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8.75" customHeight="1">
      <c r="A610" s="5"/>
      <c r="B610" s="2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8.75" customHeight="1">
      <c r="A611" s="5"/>
      <c r="B611" s="2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8.75" customHeight="1">
      <c r="A612" s="5"/>
      <c r="B612" s="2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8.75" customHeight="1">
      <c r="A613" s="5"/>
      <c r="B613" s="2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8.75" customHeight="1">
      <c r="A614" s="5"/>
      <c r="B614" s="2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8.75" customHeight="1">
      <c r="A615" s="5"/>
      <c r="B615" s="2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8.75" customHeight="1">
      <c r="A616" s="5"/>
      <c r="B616" s="2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8.75" customHeight="1">
      <c r="A617" s="5"/>
      <c r="B617" s="2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8.75" customHeight="1">
      <c r="A618" s="5"/>
      <c r="B618" s="2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8.75" customHeight="1">
      <c r="A619" s="5"/>
      <c r="B619" s="2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8.75" customHeight="1">
      <c r="A620" s="5"/>
      <c r="B620" s="2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8.75" customHeight="1">
      <c r="A621" s="5"/>
      <c r="B621" s="2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8.75" customHeight="1">
      <c r="A622" s="5"/>
      <c r="B622" s="2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8.75" customHeight="1">
      <c r="A623" s="5"/>
      <c r="B623" s="2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8.75" customHeight="1">
      <c r="A624" s="5"/>
      <c r="B624" s="2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8.75" customHeight="1">
      <c r="A625" s="5"/>
      <c r="B625" s="2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8.75" customHeight="1">
      <c r="A626" s="5"/>
      <c r="B626" s="2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8.75" customHeight="1">
      <c r="A627" s="5"/>
      <c r="B627" s="2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8.75" customHeight="1">
      <c r="A628" s="5"/>
      <c r="B628" s="2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8.75" customHeight="1">
      <c r="A629" s="5"/>
      <c r="B629" s="2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8.75" customHeight="1">
      <c r="A630" s="5"/>
      <c r="B630" s="2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8.75" customHeight="1">
      <c r="A631" s="5"/>
      <c r="B631" s="2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8.75" customHeight="1">
      <c r="A632" s="5"/>
      <c r="B632" s="2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8.75" customHeight="1">
      <c r="A633" s="5"/>
      <c r="B633" s="2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8.75" customHeight="1">
      <c r="A634" s="5"/>
      <c r="B634" s="2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8.75" customHeight="1">
      <c r="A635" s="5"/>
      <c r="B635" s="2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8.75" customHeight="1">
      <c r="A636" s="5"/>
      <c r="B636" s="2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8.75" customHeight="1">
      <c r="A637" s="5"/>
      <c r="B637" s="2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8.75" customHeight="1">
      <c r="A638" s="5"/>
      <c r="B638" s="2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8.75" customHeight="1">
      <c r="A639" s="5"/>
      <c r="B639" s="2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8.75" customHeight="1">
      <c r="A640" s="5"/>
      <c r="B640" s="2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8.75" customHeight="1">
      <c r="A641" s="5"/>
      <c r="B641" s="2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8.75" customHeight="1">
      <c r="A642" s="5"/>
      <c r="B642" s="2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8.75" customHeight="1">
      <c r="A643" s="5"/>
      <c r="B643" s="2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8.75" customHeight="1">
      <c r="A644" s="5"/>
      <c r="B644" s="2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8.75" customHeight="1">
      <c r="A645" s="5"/>
      <c r="B645" s="2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8.75" customHeight="1">
      <c r="A646" s="5"/>
      <c r="B646" s="2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8.75" customHeight="1">
      <c r="A647" s="5"/>
      <c r="B647" s="2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8.75" customHeight="1">
      <c r="A648" s="5"/>
      <c r="B648" s="2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8.75" customHeight="1">
      <c r="A649" s="5"/>
      <c r="B649" s="2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8.75" customHeight="1">
      <c r="A650" s="5"/>
      <c r="B650" s="2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8.75" customHeight="1">
      <c r="A651" s="5"/>
      <c r="B651" s="2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8.75" customHeight="1">
      <c r="A652" s="5"/>
      <c r="B652" s="2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8.75" customHeight="1">
      <c r="A653" s="5"/>
      <c r="B653" s="2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8.75" customHeight="1">
      <c r="A654" s="5"/>
      <c r="B654" s="2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8.75" customHeight="1">
      <c r="A655" s="5"/>
      <c r="B655" s="2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8.75" customHeight="1">
      <c r="A656" s="5"/>
      <c r="B656" s="2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8.75" customHeight="1">
      <c r="A657" s="5"/>
      <c r="B657" s="2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8.75" customHeight="1">
      <c r="A658" s="5"/>
      <c r="B658" s="2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8.75" customHeight="1">
      <c r="A659" s="5"/>
      <c r="B659" s="2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8.75" customHeight="1">
      <c r="A660" s="5"/>
      <c r="B660" s="2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8.75" customHeight="1">
      <c r="A661" s="5"/>
      <c r="B661" s="2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8.75" customHeight="1">
      <c r="A662" s="5"/>
      <c r="B662" s="2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8.75" customHeight="1">
      <c r="A663" s="5"/>
      <c r="B663" s="2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8.75" customHeight="1">
      <c r="A664" s="5"/>
      <c r="B664" s="2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8.75" customHeight="1">
      <c r="A665" s="5"/>
      <c r="B665" s="2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8.75" customHeight="1">
      <c r="A666" s="5"/>
      <c r="B666" s="2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8.75" customHeight="1">
      <c r="A667" s="5"/>
      <c r="B667" s="2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8.75" customHeight="1">
      <c r="A668" s="5"/>
      <c r="B668" s="2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8.75" customHeight="1">
      <c r="A669" s="5"/>
      <c r="B669" s="2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8.75" customHeight="1">
      <c r="A670" s="5"/>
      <c r="B670" s="2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8.75" customHeight="1">
      <c r="A671" s="5"/>
      <c r="B671" s="2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8.75" customHeight="1">
      <c r="A672" s="5"/>
      <c r="B672" s="2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8.75" customHeight="1">
      <c r="A673" s="5"/>
      <c r="B673" s="2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8.75" customHeight="1">
      <c r="A674" s="5"/>
      <c r="B674" s="2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8.75" customHeight="1">
      <c r="A675" s="5"/>
      <c r="B675" s="2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8.75" customHeight="1">
      <c r="A676" s="5"/>
      <c r="B676" s="2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8.75" customHeight="1">
      <c r="A677" s="5"/>
      <c r="B677" s="2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8.75" customHeight="1">
      <c r="A678" s="5"/>
      <c r="B678" s="2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8.75" customHeight="1">
      <c r="A679" s="5"/>
      <c r="B679" s="2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8.75" customHeight="1">
      <c r="A680" s="5"/>
      <c r="B680" s="2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8.75" customHeight="1">
      <c r="A681" s="5"/>
      <c r="B681" s="2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8.75" customHeight="1">
      <c r="A682" s="5"/>
      <c r="B682" s="2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8.75" customHeight="1">
      <c r="A683" s="5"/>
      <c r="B683" s="2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8.75" customHeight="1">
      <c r="A684" s="5"/>
      <c r="B684" s="2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8.75" customHeight="1">
      <c r="A685" s="5"/>
      <c r="B685" s="2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8.75" customHeight="1">
      <c r="A686" s="5"/>
      <c r="B686" s="2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8.75" customHeight="1">
      <c r="A687" s="5"/>
      <c r="B687" s="2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8.75" customHeight="1">
      <c r="A688" s="5"/>
      <c r="B688" s="2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8.75" customHeight="1">
      <c r="A689" s="5"/>
      <c r="B689" s="2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8.75" customHeight="1">
      <c r="A690" s="5"/>
      <c r="B690" s="2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8.75" customHeight="1">
      <c r="A691" s="5"/>
      <c r="B691" s="2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8.75" customHeight="1">
      <c r="A692" s="5"/>
      <c r="B692" s="2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8.75" customHeight="1">
      <c r="A693" s="5"/>
      <c r="B693" s="2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8.75" customHeight="1">
      <c r="A694" s="5"/>
      <c r="B694" s="2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8.75" customHeight="1">
      <c r="A695" s="5"/>
      <c r="B695" s="2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8.75" customHeight="1">
      <c r="A696" s="5"/>
      <c r="B696" s="2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8.75" customHeight="1">
      <c r="A697" s="5"/>
      <c r="B697" s="2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8.75" customHeight="1">
      <c r="A698" s="5"/>
      <c r="B698" s="2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8.75" customHeight="1">
      <c r="A699" s="5"/>
      <c r="B699" s="2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8.75" customHeight="1">
      <c r="A700" s="5"/>
      <c r="B700" s="2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8.75" customHeight="1">
      <c r="A701" s="5"/>
      <c r="B701" s="2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8.75" customHeight="1">
      <c r="A702" s="5"/>
      <c r="B702" s="2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8.75" customHeight="1">
      <c r="A703" s="5"/>
      <c r="B703" s="2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8.75" customHeight="1">
      <c r="A704" s="5"/>
      <c r="B704" s="2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8.75" customHeight="1">
      <c r="A705" s="5"/>
      <c r="B705" s="2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8.75" customHeight="1">
      <c r="A706" s="5"/>
      <c r="B706" s="2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8.75" customHeight="1">
      <c r="A707" s="5"/>
      <c r="B707" s="2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8.75" customHeight="1">
      <c r="A708" s="5"/>
      <c r="B708" s="2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8.75" customHeight="1">
      <c r="A709" s="5"/>
      <c r="B709" s="2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8.75" customHeight="1">
      <c r="A710" s="5"/>
      <c r="B710" s="2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8.75" customHeight="1">
      <c r="A711" s="5"/>
      <c r="B711" s="2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8.75" customHeight="1">
      <c r="A712" s="5"/>
      <c r="B712" s="2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8.75" customHeight="1">
      <c r="A713" s="5"/>
      <c r="B713" s="2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8.75" customHeight="1">
      <c r="A714" s="5"/>
      <c r="B714" s="2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8.75" customHeight="1">
      <c r="A715" s="5"/>
      <c r="B715" s="2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8.75" customHeight="1">
      <c r="A716" s="5"/>
      <c r="B716" s="2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8.75" customHeight="1">
      <c r="A717" s="5"/>
      <c r="B717" s="2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8.75" customHeight="1">
      <c r="A718" s="5"/>
      <c r="B718" s="2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8.75" customHeight="1">
      <c r="A719" s="5"/>
      <c r="B719" s="2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8.75" customHeight="1">
      <c r="A720" s="5"/>
      <c r="B720" s="2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8.75" customHeight="1">
      <c r="A721" s="5"/>
      <c r="B721" s="2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8.75" customHeight="1">
      <c r="A722" s="5"/>
      <c r="B722" s="2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8.75" customHeight="1">
      <c r="A723" s="5"/>
      <c r="B723" s="2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8.75" customHeight="1">
      <c r="A724" s="5"/>
      <c r="B724" s="2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8.75" customHeight="1">
      <c r="A725" s="5"/>
      <c r="B725" s="2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8.75" customHeight="1">
      <c r="A726" s="5"/>
      <c r="B726" s="2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8.75" customHeight="1">
      <c r="A727" s="5"/>
      <c r="B727" s="2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8.75" customHeight="1">
      <c r="A728" s="5"/>
      <c r="B728" s="2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8.75" customHeight="1">
      <c r="A729" s="5"/>
      <c r="B729" s="2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8.75" customHeight="1">
      <c r="A730" s="5"/>
      <c r="B730" s="2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8.75" customHeight="1">
      <c r="A731" s="5"/>
      <c r="B731" s="2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8.75" customHeight="1">
      <c r="A732" s="5"/>
      <c r="B732" s="2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8.75" customHeight="1">
      <c r="A733" s="5"/>
      <c r="B733" s="2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8.75" customHeight="1">
      <c r="A734" s="5"/>
      <c r="B734" s="2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8.75" customHeight="1">
      <c r="A735" s="5"/>
      <c r="B735" s="2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8.75" customHeight="1">
      <c r="A736" s="5"/>
      <c r="B736" s="2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8.75" customHeight="1">
      <c r="A737" s="5"/>
      <c r="B737" s="2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8.75" customHeight="1">
      <c r="A738" s="5"/>
      <c r="B738" s="2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8.75" customHeight="1">
      <c r="A739" s="5"/>
      <c r="B739" s="2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8.75" customHeight="1">
      <c r="A740" s="5"/>
      <c r="B740" s="2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8.75" customHeight="1">
      <c r="A741" s="5"/>
      <c r="B741" s="2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8.75" customHeight="1">
      <c r="A742" s="5"/>
      <c r="B742" s="2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8.75" customHeight="1">
      <c r="A743" s="5"/>
      <c r="B743" s="2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8.75" customHeight="1">
      <c r="A744" s="5"/>
      <c r="B744" s="2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8.75" customHeight="1">
      <c r="A745" s="5"/>
      <c r="B745" s="2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8.75" customHeight="1">
      <c r="A746" s="5"/>
      <c r="B746" s="2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8.75" customHeight="1">
      <c r="A747" s="5"/>
      <c r="B747" s="2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8.75" customHeight="1">
      <c r="A748" s="5"/>
      <c r="B748" s="2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8.75" customHeight="1">
      <c r="A749" s="5"/>
      <c r="B749" s="2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8.75" customHeight="1">
      <c r="A750" s="5"/>
      <c r="B750" s="2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8.75" customHeight="1">
      <c r="A751" s="5"/>
      <c r="B751" s="2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8.75" customHeight="1">
      <c r="A752" s="5"/>
      <c r="B752" s="2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8.75" customHeight="1">
      <c r="A753" s="5"/>
      <c r="B753" s="2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8.75" customHeight="1">
      <c r="A754" s="5"/>
      <c r="B754" s="2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8.75" customHeight="1">
      <c r="A755" s="5"/>
      <c r="B755" s="2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8.75" customHeight="1">
      <c r="A756" s="5"/>
      <c r="B756" s="2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8.75" customHeight="1">
      <c r="A757" s="5"/>
      <c r="B757" s="2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8.75" customHeight="1">
      <c r="A758" s="5"/>
      <c r="B758" s="2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8.75" customHeight="1">
      <c r="A759" s="5"/>
      <c r="B759" s="2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8.75" customHeight="1">
      <c r="A760" s="5"/>
      <c r="B760" s="2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8.75" customHeight="1">
      <c r="A761" s="5"/>
      <c r="B761" s="2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8.75" customHeight="1">
      <c r="A762" s="5"/>
      <c r="B762" s="2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8.75" customHeight="1">
      <c r="A763" s="5"/>
      <c r="B763" s="2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8.75" customHeight="1">
      <c r="A764" s="5"/>
      <c r="B764" s="2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8.75" customHeight="1">
      <c r="A765" s="5"/>
      <c r="B765" s="2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8.75" customHeight="1">
      <c r="A766" s="5"/>
      <c r="B766" s="2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8.75" customHeight="1">
      <c r="A767" s="5"/>
      <c r="B767" s="2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8.75" customHeight="1">
      <c r="A768" s="5"/>
      <c r="B768" s="2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8.75" customHeight="1">
      <c r="A769" s="5"/>
      <c r="B769" s="2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8.75" customHeight="1">
      <c r="A770" s="5"/>
      <c r="B770" s="2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8.75" customHeight="1">
      <c r="A771" s="5"/>
      <c r="B771" s="2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8.75" customHeight="1">
      <c r="A772" s="5"/>
      <c r="B772" s="2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8.75" customHeight="1">
      <c r="A773" s="5"/>
      <c r="B773" s="2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8.75" customHeight="1">
      <c r="A774" s="5"/>
      <c r="B774" s="2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8.75" customHeight="1">
      <c r="A775" s="5"/>
      <c r="B775" s="2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8.75" customHeight="1">
      <c r="A776" s="5"/>
      <c r="B776" s="2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8.75" customHeight="1">
      <c r="A777" s="5"/>
      <c r="B777" s="2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8.75" customHeight="1">
      <c r="A778" s="5"/>
      <c r="B778" s="2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8.75" customHeight="1">
      <c r="A779" s="5"/>
      <c r="B779" s="2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8.75" customHeight="1">
      <c r="A780" s="5"/>
      <c r="B780" s="2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8.75" customHeight="1">
      <c r="A781" s="5"/>
      <c r="B781" s="2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8.75" customHeight="1">
      <c r="A782" s="5"/>
      <c r="B782" s="2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8.75" customHeight="1">
      <c r="A783" s="5"/>
      <c r="B783" s="2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8.75" customHeight="1">
      <c r="A784" s="5"/>
      <c r="B784" s="2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8.75" customHeight="1">
      <c r="A785" s="5"/>
      <c r="B785" s="2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8.75" customHeight="1">
      <c r="A786" s="5"/>
      <c r="B786" s="2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8.75" customHeight="1">
      <c r="A787" s="5"/>
      <c r="B787" s="2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8.75" customHeight="1">
      <c r="A788" s="5"/>
      <c r="B788" s="2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8.75" customHeight="1">
      <c r="A789" s="5"/>
      <c r="B789" s="2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8.75" customHeight="1">
      <c r="A790" s="5"/>
      <c r="B790" s="2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8.75" customHeight="1">
      <c r="A791" s="5"/>
      <c r="B791" s="2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8.75" customHeight="1">
      <c r="A792" s="5"/>
      <c r="B792" s="2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8.75" customHeight="1">
      <c r="A793" s="5"/>
      <c r="B793" s="2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8.75" customHeight="1">
      <c r="A794" s="5"/>
      <c r="B794" s="2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8.75" customHeight="1">
      <c r="A795" s="5"/>
      <c r="B795" s="2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8.75" customHeight="1">
      <c r="A796" s="5"/>
      <c r="B796" s="2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8.75" customHeight="1">
      <c r="A797" s="5"/>
      <c r="B797" s="2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8.75" customHeight="1">
      <c r="A798" s="5"/>
      <c r="B798" s="2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8.75" customHeight="1">
      <c r="A799" s="5"/>
      <c r="B799" s="2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8.75" customHeight="1">
      <c r="A800" s="5"/>
      <c r="B800" s="2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8.75" customHeight="1">
      <c r="A801" s="5"/>
      <c r="B801" s="2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8.75" customHeight="1">
      <c r="A802" s="5"/>
      <c r="B802" s="2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8.75" customHeight="1">
      <c r="A803" s="5"/>
      <c r="B803" s="2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8.75" customHeight="1">
      <c r="A804" s="5"/>
      <c r="B804" s="2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8.75" customHeight="1">
      <c r="A805" s="5"/>
      <c r="B805" s="2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8.75" customHeight="1">
      <c r="A806" s="5"/>
      <c r="B806" s="2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8.75" customHeight="1">
      <c r="A807" s="5"/>
      <c r="B807" s="2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8.75" customHeight="1">
      <c r="A808" s="5"/>
      <c r="B808" s="2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8.75" customHeight="1">
      <c r="A809" s="5"/>
      <c r="B809" s="2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8.75" customHeight="1">
      <c r="A810" s="5"/>
      <c r="B810" s="2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8.75" customHeight="1">
      <c r="A811" s="5"/>
      <c r="B811" s="2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8.75" customHeight="1">
      <c r="A812" s="5"/>
      <c r="B812" s="2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8.75" customHeight="1">
      <c r="A813" s="5"/>
      <c r="B813" s="2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8.75" customHeight="1">
      <c r="A814" s="5"/>
      <c r="B814" s="2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8.75" customHeight="1">
      <c r="A815" s="5"/>
      <c r="B815" s="2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8.75" customHeight="1">
      <c r="A816" s="5"/>
      <c r="B816" s="2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8.75" customHeight="1">
      <c r="A817" s="5"/>
      <c r="B817" s="2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8.75" customHeight="1">
      <c r="A818" s="5"/>
      <c r="B818" s="2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8.75" customHeight="1">
      <c r="A819" s="5"/>
      <c r="B819" s="2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8.75" customHeight="1">
      <c r="A820" s="5"/>
      <c r="B820" s="2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8.75" customHeight="1">
      <c r="A821" s="5"/>
      <c r="B821" s="2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8.75" customHeight="1">
      <c r="A822" s="5"/>
      <c r="B822" s="2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8.75" customHeight="1">
      <c r="A823" s="5"/>
      <c r="B823" s="2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8.75" customHeight="1">
      <c r="A824" s="5"/>
      <c r="B824" s="2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8.75" customHeight="1">
      <c r="A825" s="5"/>
      <c r="B825" s="2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8.75" customHeight="1">
      <c r="A826" s="5"/>
      <c r="B826" s="2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8.75" customHeight="1">
      <c r="A827" s="5"/>
      <c r="B827" s="2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8.75" customHeight="1">
      <c r="A828" s="5"/>
      <c r="B828" s="2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8.75" customHeight="1">
      <c r="A829" s="5"/>
      <c r="B829" s="2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8.75" customHeight="1">
      <c r="A830" s="5"/>
      <c r="B830" s="2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8.75" customHeight="1">
      <c r="A831" s="5"/>
      <c r="B831" s="2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8.75" customHeight="1">
      <c r="A832" s="5"/>
      <c r="B832" s="2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8.75" customHeight="1">
      <c r="A833" s="5"/>
      <c r="B833" s="2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8.75" customHeight="1">
      <c r="A834" s="5"/>
      <c r="B834" s="2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8.75" customHeight="1">
      <c r="A835" s="5"/>
      <c r="B835" s="2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8.75" customHeight="1">
      <c r="A836" s="5"/>
      <c r="B836" s="2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8.75" customHeight="1">
      <c r="A837" s="5"/>
      <c r="B837" s="2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8.75" customHeight="1">
      <c r="A838" s="5"/>
      <c r="B838" s="2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8.75" customHeight="1">
      <c r="A839" s="5"/>
      <c r="B839" s="2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8.75" customHeight="1">
      <c r="A840" s="5"/>
      <c r="B840" s="2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8.75" customHeight="1">
      <c r="A841" s="5"/>
      <c r="B841" s="2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8.75" customHeight="1">
      <c r="A842" s="5"/>
      <c r="B842" s="2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8.75" customHeight="1">
      <c r="A843" s="5"/>
      <c r="B843" s="2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8.75" customHeight="1">
      <c r="A844" s="5"/>
      <c r="B844" s="2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8.75" customHeight="1">
      <c r="A845" s="5"/>
      <c r="B845" s="2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8.75" customHeight="1">
      <c r="A846" s="5"/>
      <c r="B846" s="2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8.75" customHeight="1">
      <c r="A847" s="5"/>
      <c r="B847" s="2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8.75" customHeight="1">
      <c r="A848" s="5"/>
      <c r="B848" s="2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8.75" customHeight="1">
      <c r="A849" s="5"/>
      <c r="B849" s="2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8.75" customHeight="1">
      <c r="A850" s="5"/>
      <c r="B850" s="2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8.75" customHeight="1">
      <c r="A851" s="5"/>
      <c r="B851" s="2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8.75" customHeight="1">
      <c r="A852" s="5"/>
      <c r="B852" s="2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8.75" customHeight="1">
      <c r="A853" s="5"/>
      <c r="B853" s="2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8.75" customHeight="1">
      <c r="A854" s="5"/>
      <c r="B854" s="2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8.75" customHeight="1">
      <c r="A855" s="5"/>
      <c r="B855" s="2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8.75" customHeight="1">
      <c r="A856" s="5"/>
      <c r="B856" s="2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8.75" customHeight="1">
      <c r="A857" s="5"/>
      <c r="B857" s="2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8.75" customHeight="1">
      <c r="A858" s="5"/>
      <c r="B858" s="2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8.75" customHeight="1">
      <c r="A859" s="5"/>
      <c r="B859" s="2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8.75" customHeight="1">
      <c r="A860" s="5"/>
      <c r="B860" s="2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8.75" customHeight="1">
      <c r="A861" s="5"/>
      <c r="B861" s="2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8.75" customHeight="1">
      <c r="A862" s="5"/>
      <c r="B862" s="2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8.75" customHeight="1">
      <c r="A863" s="5"/>
      <c r="B863" s="2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8.75" customHeight="1">
      <c r="A864" s="5"/>
      <c r="B864" s="2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8.75" customHeight="1">
      <c r="A865" s="5"/>
      <c r="B865" s="2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8.75" customHeight="1">
      <c r="A866" s="5"/>
      <c r="B866" s="2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8.75" customHeight="1">
      <c r="A867" s="5"/>
      <c r="B867" s="2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8.75" customHeight="1">
      <c r="A868" s="5"/>
      <c r="B868" s="2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8.75" customHeight="1">
      <c r="A869" s="5"/>
      <c r="B869" s="2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8.75" customHeight="1">
      <c r="A870" s="5"/>
      <c r="B870" s="2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8.75" customHeight="1">
      <c r="A871" s="5"/>
      <c r="B871" s="2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8.75" customHeight="1">
      <c r="A872" s="5"/>
      <c r="B872" s="2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8.75" customHeight="1">
      <c r="A873" s="5"/>
      <c r="B873" s="2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8.75" customHeight="1">
      <c r="A874" s="5"/>
      <c r="B874" s="2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8.75" customHeight="1">
      <c r="A875" s="5"/>
      <c r="B875" s="2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8.75" customHeight="1">
      <c r="A876" s="5"/>
      <c r="B876" s="2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8.75" customHeight="1">
      <c r="A877" s="5"/>
      <c r="B877" s="2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8.75" customHeight="1">
      <c r="A878" s="5"/>
      <c r="B878" s="2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8.75" customHeight="1">
      <c r="A879" s="5"/>
      <c r="B879" s="2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8.75" customHeight="1">
      <c r="A880" s="5"/>
      <c r="B880" s="2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8.75" customHeight="1">
      <c r="A881" s="5"/>
      <c r="B881" s="2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8.75" customHeight="1">
      <c r="A882" s="5"/>
      <c r="B882" s="2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8.75" customHeight="1">
      <c r="A883" s="5"/>
      <c r="B883" s="2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8.75" customHeight="1">
      <c r="A884" s="5"/>
      <c r="B884" s="2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8.75" customHeight="1">
      <c r="A885" s="5"/>
      <c r="B885" s="2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8.75" customHeight="1">
      <c r="A886" s="5"/>
      <c r="B886" s="2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8.75" customHeight="1">
      <c r="A887" s="5"/>
      <c r="B887" s="2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8.75" customHeight="1">
      <c r="A888" s="5"/>
      <c r="B888" s="2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8.75" customHeight="1">
      <c r="A889" s="5"/>
      <c r="B889" s="2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8.75" customHeight="1">
      <c r="A890" s="5"/>
      <c r="B890" s="2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8.75" customHeight="1">
      <c r="A891" s="5"/>
      <c r="B891" s="2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8.75" customHeight="1">
      <c r="A892" s="5"/>
      <c r="B892" s="2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8.75" customHeight="1">
      <c r="A893" s="5"/>
      <c r="B893" s="2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8.75" customHeight="1">
      <c r="A894" s="5"/>
      <c r="B894" s="2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8.75" customHeight="1">
      <c r="A895" s="5"/>
      <c r="B895" s="2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8.75" customHeight="1">
      <c r="A896" s="5"/>
      <c r="B896" s="2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8.75" customHeight="1">
      <c r="A897" s="5"/>
      <c r="B897" s="2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8.75" customHeight="1">
      <c r="A898" s="5"/>
      <c r="B898" s="2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8.75" customHeight="1">
      <c r="A899" s="5"/>
      <c r="B899" s="2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8.75" customHeight="1">
      <c r="A900" s="5"/>
      <c r="B900" s="2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8.75" customHeight="1">
      <c r="A901" s="5"/>
      <c r="B901" s="2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8.75" customHeight="1">
      <c r="A902" s="5"/>
      <c r="B902" s="2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8.75" customHeight="1">
      <c r="A903" s="5"/>
      <c r="B903" s="2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8.75" customHeight="1">
      <c r="A904" s="5"/>
      <c r="B904" s="2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8.75" customHeight="1">
      <c r="A905" s="5"/>
      <c r="B905" s="2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8.75" customHeight="1">
      <c r="A906" s="5"/>
      <c r="B906" s="2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8.75" customHeight="1">
      <c r="A907" s="5"/>
      <c r="B907" s="2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8.75" customHeight="1">
      <c r="A908" s="5"/>
      <c r="B908" s="2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8.75" customHeight="1">
      <c r="A909" s="5"/>
      <c r="B909" s="2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8.75" customHeight="1">
      <c r="A910" s="5"/>
      <c r="B910" s="2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8.75" customHeight="1">
      <c r="A911" s="5"/>
      <c r="B911" s="2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8.75" customHeight="1">
      <c r="A912" s="5"/>
      <c r="B912" s="2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8.75" customHeight="1">
      <c r="A913" s="5"/>
      <c r="B913" s="2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8.75" customHeight="1">
      <c r="A914" s="5"/>
      <c r="B914" s="2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8.75" customHeight="1">
      <c r="A915" s="5"/>
      <c r="B915" s="2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8.75" customHeight="1">
      <c r="A916" s="5"/>
      <c r="B916" s="2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8.75" customHeight="1">
      <c r="A917" s="5"/>
      <c r="B917" s="2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8.75" customHeight="1">
      <c r="A918" s="5"/>
      <c r="B918" s="2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8.75" customHeight="1">
      <c r="A919" s="5"/>
      <c r="B919" s="2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8.75" customHeight="1">
      <c r="A920" s="5"/>
      <c r="B920" s="2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8.75" customHeight="1">
      <c r="A921" s="5"/>
      <c r="B921" s="2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8.75" customHeight="1">
      <c r="A922" s="5"/>
      <c r="B922" s="2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8.75" customHeight="1">
      <c r="A923" s="5"/>
      <c r="B923" s="2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8.75" customHeight="1">
      <c r="A924" s="5"/>
      <c r="B924" s="2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8.75" customHeight="1">
      <c r="A925" s="5"/>
      <c r="B925" s="2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8.75" customHeight="1">
      <c r="A926" s="5"/>
      <c r="B926" s="2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8.75" customHeight="1">
      <c r="A927" s="5"/>
      <c r="B927" s="2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8.75" customHeight="1">
      <c r="A928" s="5"/>
      <c r="B928" s="2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8.75" customHeight="1">
      <c r="A929" s="5"/>
      <c r="B929" s="2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8.75" customHeight="1">
      <c r="A930" s="5"/>
      <c r="B930" s="2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8.75" customHeight="1">
      <c r="A931" s="5"/>
      <c r="B931" s="2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8.75" customHeight="1">
      <c r="A932" s="5"/>
      <c r="B932" s="2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8.75" customHeight="1">
      <c r="A933" s="5"/>
      <c r="B933" s="2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8.75" customHeight="1">
      <c r="A934" s="5"/>
      <c r="B934" s="2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8.75" customHeight="1">
      <c r="A935" s="5"/>
      <c r="B935" s="2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8.75" customHeight="1">
      <c r="A936" s="5"/>
      <c r="B936" s="2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8.75" customHeight="1">
      <c r="A937" s="5"/>
      <c r="B937" s="2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8.75" customHeight="1">
      <c r="A938" s="5"/>
      <c r="B938" s="2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8.75" customHeight="1">
      <c r="A939" s="5"/>
      <c r="B939" s="2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8.75" customHeight="1">
      <c r="A940" s="5"/>
      <c r="B940" s="2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8.75" customHeight="1">
      <c r="A941" s="5"/>
      <c r="B941" s="2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8.75" customHeight="1">
      <c r="A942" s="5"/>
      <c r="B942" s="2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8.75" customHeight="1">
      <c r="A943" s="5"/>
      <c r="B943" s="2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8.75" customHeight="1">
      <c r="A944" s="5"/>
      <c r="B944" s="2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8.75" customHeight="1">
      <c r="A945" s="5"/>
      <c r="B945" s="2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8.75" customHeight="1">
      <c r="A946" s="5"/>
      <c r="B946" s="2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8.75" customHeight="1">
      <c r="A947" s="5"/>
      <c r="B947" s="2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8.75" customHeight="1">
      <c r="A948" s="5"/>
      <c r="B948" s="2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8.75" customHeight="1">
      <c r="A949" s="5"/>
      <c r="B949" s="2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8.75" customHeight="1">
      <c r="A950" s="5"/>
      <c r="B950" s="2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8.75" customHeight="1">
      <c r="A951" s="5"/>
      <c r="B951" s="2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8.75" customHeight="1">
      <c r="A952" s="5"/>
      <c r="B952" s="2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8.75" customHeight="1">
      <c r="A953" s="5"/>
      <c r="B953" s="2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8.75" customHeight="1">
      <c r="A954" s="5"/>
      <c r="B954" s="2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8.75" customHeight="1">
      <c r="A955" s="5"/>
      <c r="B955" s="2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8.75" customHeight="1">
      <c r="A956" s="5"/>
      <c r="B956" s="2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8.75" customHeight="1">
      <c r="A957" s="5"/>
      <c r="B957" s="2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8.75" customHeight="1">
      <c r="A958" s="5"/>
      <c r="B958" s="2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8.75" customHeight="1">
      <c r="A959" s="5"/>
      <c r="B959" s="2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8.75" customHeight="1">
      <c r="A960" s="5"/>
      <c r="B960" s="2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8.75" customHeight="1">
      <c r="A961" s="5"/>
      <c r="B961" s="2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8.75" customHeight="1">
      <c r="A962" s="5"/>
      <c r="B962" s="2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8.75" customHeight="1">
      <c r="A963" s="5"/>
      <c r="B963" s="2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8.75" customHeight="1">
      <c r="A964" s="5"/>
      <c r="B964" s="2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8.75" customHeight="1">
      <c r="A965" s="5"/>
      <c r="B965" s="2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8.75" customHeight="1">
      <c r="A966" s="5"/>
      <c r="B966" s="2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8.75" customHeight="1">
      <c r="A967" s="5"/>
      <c r="B967" s="2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8.75" customHeight="1">
      <c r="A968" s="5"/>
      <c r="B968" s="2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8.75" customHeight="1">
      <c r="A969" s="5"/>
      <c r="B969" s="2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8.75" customHeight="1">
      <c r="A970" s="5"/>
      <c r="B970" s="2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8.75" customHeight="1">
      <c r="A971" s="5"/>
      <c r="B971" s="2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8.75" customHeight="1">
      <c r="A972" s="5"/>
      <c r="B972" s="2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8.75" customHeight="1">
      <c r="A973" s="5"/>
      <c r="B973" s="2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8.75" customHeight="1">
      <c r="A974" s="5"/>
      <c r="B974" s="2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8.75" customHeight="1">
      <c r="A975" s="5"/>
      <c r="B975" s="2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8.75" customHeight="1">
      <c r="A976" s="5"/>
      <c r="B976" s="2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8.75" customHeight="1">
      <c r="A977" s="5"/>
      <c r="B977" s="2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8.75" customHeight="1">
      <c r="A978" s="5"/>
      <c r="B978" s="2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8.75" customHeight="1">
      <c r="A979" s="5"/>
      <c r="B979" s="2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8.75" customHeight="1">
      <c r="A980" s="5"/>
      <c r="B980" s="2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8.75" customHeight="1">
      <c r="A981" s="5"/>
      <c r="B981" s="2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8.75" customHeight="1">
      <c r="A982" s="5"/>
      <c r="B982" s="2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8.75" customHeight="1">
      <c r="A983" s="5"/>
      <c r="B983" s="2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8.75" customHeight="1">
      <c r="A984" s="5"/>
      <c r="B984" s="2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8.75" customHeight="1">
      <c r="A985" s="5"/>
      <c r="B985" s="2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8.75" customHeight="1">
      <c r="A986" s="5"/>
      <c r="B986" s="2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8.75" customHeight="1">
      <c r="A987" s="5"/>
      <c r="B987" s="2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8.75" customHeight="1">
      <c r="A988" s="5"/>
      <c r="B988" s="2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8.75" customHeight="1">
      <c r="A989" s="5"/>
      <c r="B989" s="2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8.75" customHeight="1">
      <c r="A990" s="5"/>
      <c r="B990" s="2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8.75" customHeight="1">
      <c r="A991" s="5"/>
      <c r="B991" s="2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8.75" customHeight="1">
      <c r="A992" s="5"/>
      <c r="B992" s="2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8.75" customHeight="1">
      <c r="A993" s="5"/>
      <c r="B993" s="2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8.75" customHeight="1">
      <c r="A994" s="5"/>
      <c r="B994" s="2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8.75" customHeight="1">
      <c r="A995" s="5"/>
      <c r="B995" s="2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8.75" customHeight="1">
      <c r="A996" s="5"/>
      <c r="B996" s="2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8.75" customHeight="1">
      <c r="A997" s="5"/>
      <c r="B997" s="2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8.75" customHeight="1">
      <c r="A998" s="5"/>
      <c r="B998" s="2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8.75" customHeight="1">
      <c r="A999" s="5"/>
      <c r="B999" s="2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8.75" customHeight="1">
      <c r="A1000" s="5"/>
      <c r="B1000" s="2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13:B13"/>
    <mergeCell ref="A14:B14"/>
    <mergeCell ref="A15:B15"/>
    <mergeCell ref="K21:L21"/>
  </mergeCells>
  <phoneticPr fontId="8" type="noConversion"/>
  <conditionalFormatting sqref="C15:Z15">
    <cfRule type="cellIs" dxfId="1" priority="1" operator="greaterThanOrEqual">
      <formula>25</formula>
    </cfRule>
  </conditionalFormatting>
  <dataValidations count="9">
    <dataValidation type="list" allowBlank="1" showErrorMessage="1" sqref="B9">
      <formula1>衣服名冊</formula1>
    </dataValidation>
    <dataValidation type="list" allowBlank="1" showErrorMessage="1" sqref="B11">
      <formula1>鞋子名冊</formula1>
    </dataValidation>
    <dataValidation type="list" allowBlank="1" showErrorMessage="1" sqref="B10">
      <formula1>手套名冊</formula1>
    </dataValidation>
    <dataValidation type="list" allowBlank="1" showErrorMessage="1" sqref="B6">
      <formula1>主武名冊</formula1>
    </dataValidation>
    <dataValidation type="list" allowBlank="1" showErrorMessage="1" sqref="B2:B3">
      <formula1>飾品名冊</formula1>
    </dataValidation>
    <dataValidation type="list" allowBlank="1" showErrorMessage="1" sqref="B4:B5">
      <formula1>寶物名冊</formula1>
    </dataValidation>
    <dataValidation type="list" allowBlank="1" showErrorMessage="1" sqref="B7">
      <formula1>副武名冊</formula1>
    </dataValidation>
    <dataValidation type="list" allowBlank="1" showErrorMessage="1" sqref="B8">
      <formula1>頭盔名冊</formula1>
    </dataValidation>
    <dataValidation type="list" allowBlank="1" showErrorMessage="1" sqref="B12">
      <formula1>職業名冊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4140625" defaultRowHeight="15" customHeight="1"/>
  <cols>
    <col min="1" max="1" width="12.6640625" customWidth="1"/>
    <col min="2" max="2" width="27.33203125" customWidth="1"/>
    <col min="3" max="26" width="13.109375" customWidth="1"/>
  </cols>
  <sheetData>
    <row r="1" spans="1:26" ht="18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ht="18.75" customHeight="1">
      <c r="A2" s="5" t="s">
        <v>26</v>
      </c>
      <c r="B2" s="27" t="s">
        <v>48</v>
      </c>
      <c r="C2" s="7" t="e">
        <f t="array" aca="1" ref="C2" ca="1">XLOOKUP($B2, '資料源(請謹慎編輯)'!$B:$B, '資料源(請謹慎編輯)'!C:C, 0)</f>
        <v>#NAME?</v>
      </c>
      <c r="D2" s="8" t="e">
        <f t="array" aca="1" ref="D2" ca="1">XLOOKUP($B2, '資料源(請謹慎編輯)'!$B:$B, '資料源(請謹慎編輯)'!D:D, 0)</f>
        <v>#NAME?</v>
      </c>
      <c r="E2" s="7" t="e">
        <f t="array" aca="1" ref="E2" ca="1">XLOOKUP($B2, '資料源(請謹慎編輯)'!$B:$B, '資料源(請謹慎編輯)'!E:E, 0)</f>
        <v>#NAME?</v>
      </c>
      <c r="F2" s="8" t="e">
        <f t="array" aca="1" ref="F2" ca="1">XLOOKUP($B2, '資料源(請謹慎編輯)'!$B:$B, '資料源(請謹慎編輯)'!F:F, 0)</f>
        <v>#NAME?</v>
      </c>
      <c r="G2" s="7" t="e">
        <f t="array" aca="1" ref="G2" ca="1">XLOOKUP($B2, '資料源(請謹慎編輯)'!$B:$B, '資料源(請謹慎編輯)'!G:G, 0)</f>
        <v>#NAME?</v>
      </c>
      <c r="H2" s="8" t="e">
        <f t="array" aca="1" ref="H2" ca="1">XLOOKUP($B2, '資料源(請謹慎編輯)'!$B:$B, '資料源(請謹慎編輯)'!H:H, 0)</f>
        <v>#NAME?</v>
      </c>
      <c r="I2" s="7" t="e">
        <f t="array" aca="1" ref="I2" ca="1">XLOOKUP($B2, '資料源(請謹慎編輯)'!$B:$B, '資料源(請謹慎編輯)'!I:I, 0)</f>
        <v>#NAME?</v>
      </c>
      <c r="J2" s="8" t="e">
        <f t="array" aca="1" ref="J2" ca="1">XLOOKUP($B2, '資料源(請謹慎編輯)'!$B:$B, '資料源(請謹慎編輯)'!J:J, 0)</f>
        <v>#NAME?</v>
      </c>
      <c r="K2" s="7" t="e">
        <f t="array" aca="1" ref="K2" ca="1">XLOOKUP($B2, '資料源(請謹慎編輯)'!$B:$B, '資料源(請謹慎編輯)'!K:K, 0)</f>
        <v>#NAME?</v>
      </c>
      <c r="L2" s="8" t="e">
        <f t="array" aca="1" ref="L2" ca="1">XLOOKUP($B2, '資料源(請謹慎編輯)'!$B:$B, '資料源(請謹慎編輯)'!L:L, 0)</f>
        <v>#NAME?</v>
      </c>
      <c r="M2" s="9" t="e">
        <f t="array" aca="1" ref="M2" ca="1">XLOOKUP($B2, '資料源(請謹慎編輯)'!$B:$B, '資料源(請謹慎編輯)'!M:M, 0)</f>
        <v>#NAME?</v>
      </c>
      <c r="N2" s="10" t="e">
        <f t="array" aca="1" ref="N2" ca="1">XLOOKUP($B2, '資料源(請謹慎編輯)'!$B:$B, '資料源(請謹慎編輯)'!N:N, 0)</f>
        <v>#NAME?</v>
      </c>
      <c r="O2" s="9" t="e">
        <f t="array" aca="1" ref="O2" ca="1">XLOOKUP($B2, '資料源(請謹慎編輯)'!$B:$B, '資料源(請謹慎編輯)'!O:O, 0)</f>
        <v>#NAME?</v>
      </c>
      <c r="P2" s="10" t="e">
        <f t="array" aca="1" ref="P2" ca="1">XLOOKUP($B2, '資料源(請謹慎編輯)'!$B:$B, '資料源(請謹慎編輯)'!P:P, 0)</f>
        <v>#NAME?</v>
      </c>
      <c r="Q2" s="9" t="e">
        <f t="array" aca="1" ref="Q2" ca="1">XLOOKUP($B2, '資料源(請謹慎編輯)'!$B:$B, '資料源(請謹慎編輯)'!Q:Q, 0)</f>
        <v>#NAME?</v>
      </c>
      <c r="R2" s="10" t="e">
        <f t="array" aca="1" ref="R2" ca="1">XLOOKUP($B2, '資料源(請謹慎編輯)'!$B:$B, '資料源(請謹慎編輯)'!R:R, 0)</f>
        <v>#NAME?</v>
      </c>
      <c r="S2" s="9" t="e">
        <f t="array" aca="1" ref="S2" ca="1">XLOOKUP($B2, '資料源(請謹慎編輯)'!$B:$B, '資料源(請謹慎編輯)'!S:S, 0)</f>
        <v>#NAME?</v>
      </c>
      <c r="T2" s="10" t="e">
        <f t="array" aca="1" ref="T2" ca="1">XLOOKUP($B2, '資料源(請謹慎編輯)'!$B:$B, '資料源(請謹慎編輯)'!T:T, 0)</f>
        <v>#NAME?</v>
      </c>
      <c r="U2" s="9" t="e">
        <f t="array" aca="1" ref="U2" ca="1">XLOOKUP($B2, '資料源(請謹慎編輯)'!$B:$B, '資料源(請謹慎編輯)'!U:U, 0)</f>
        <v>#NAME?</v>
      </c>
      <c r="V2" s="10" t="e">
        <f t="array" aca="1" ref="V2" ca="1">XLOOKUP($B2, '資料源(請謹慎編輯)'!$B:$B, '資料源(請謹慎編輯)'!V:V, 0)</f>
        <v>#NAME?</v>
      </c>
      <c r="W2" s="9" t="e">
        <f t="array" aca="1" ref="W2" ca="1">XLOOKUP($B2, '資料源(請謹慎編輯)'!$B:$B, '資料源(請謹慎編輯)'!W:W, 0)</f>
        <v>#NAME?</v>
      </c>
      <c r="X2" s="10" t="e">
        <f t="array" aca="1" ref="X2" ca="1">XLOOKUP($B2, '資料源(請謹慎編輯)'!$B:$B, '資料源(請謹慎編輯)'!X:X, 0)</f>
        <v>#NAME?</v>
      </c>
      <c r="Y2" s="9" t="e">
        <f t="array" aca="1" ref="Y2" ca="1">XLOOKUP($B2, '資料源(請謹慎編輯)'!$B:$B, '資料源(請謹慎編輯)'!Y:Y, 0)</f>
        <v>#NAME?</v>
      </c>
      <c r="Z2" s="11" t="e">
        <f t="array" aca="1" ref="Z2" ca="1">XLOOKUP($B2, '資料源(請謹慎編輯)'!$B:$B, '資料源(請謹慎編輯)'!Z:Z, 0)</f>
        <v>#NAME?</v>
      </c>
    </row>
    <row r="3" spans="1:26" ht="18.75" customHeight="1">
      <c r="A3" s="5" t="s">
        <v>26</v>
      </c>
      <c r="B3" s="28" t="s">
        <v>48</v>
      </c>
      <c r="C3" s="13" t="e">
        <f t="array" aca="1" ref="C3" ca="1">XLOOKUP($B3, '資料源(請謹慎編輯)'!$B:$B, '資料源(請謹慎編輯)'!C:C, 0)</f>
        <v>#NAME?</v>
      </c>
      <c r="D3" s="14" t="e">
        <f t="array" aca="1" ref="D3" ca="1">XLOOKUP($B3, '資料源(請謹慎編輯)'!$B:$B, '資料源(請謹慎編輯)'!D:D, 0)</f>
        <v>#NAME?</v>
      </c>
      <c r="E3" s="13" t="e">
        <f t="array" aca="1" ref="E3" ca="1">XLOOKUP($B3, '資料源(請謹慎編輯)'!$B:$B, '資料源(請謹慎編輯)'!E:E, 0)</f>
        <v>#NAME?</v>
      </c>
      <c r="F3" s="14" t="e">
        <f t="array" aca="1" ref="F3" ca="1">XLOOKUP($B3, '資料源(請謹慎編輯)'!$B:$B, '資料源(請謹慎編輯)'!F:F, 0)</f>
        <v>#NAME?</v>
      </c>
      <c r="G3" s="13" t="e">
        <f t="array" aca="1" ref="G3" ca="1">XLOOKUP($B3, '資料源(請謹慎編輯)'!$B:$B, '資料源(請謹慎編輯)'!G:G, 0)</f>
        <v>#NAME?</v>
      </c>
      <c r="H3" s="14" t="e">
        <f t="array" aca="1" ref="H3" ca="1">XLOOKUP($B3, '資料源(請謹慎編輯)'!$B:$B, '資料源(請謹慎編輯)'!H:H, 0)</f>
        <v>#NAME?</v>
      </c>
      <c r="I3" s="13" t="e">
        <f t="array" aca="1" ref="I3" ca="1">XLOOKUP($B3, '資料源(請謹慎編輯)'!$B:$B, '資料源(請謹慎編輯)'!I:I, 0)</f>
        <v>#NAME?</v>
      </c>
      <c r="J3" s="14" t="e">
        <f t="array" aca="1" ref="J3" ca="1">XLOOKUP($B3, '資料源(請謹慎編輯)'!$B:$B, '資料源(請謹慎編輯)'!J:J, 0)</f>
        <v>#NAME?</v>
      </c>
      <c r="K3" s="13" t="e">
        <f t="array" aca="1" ref="K3" ca="1">XLOOKUP($B3, '資料源(請謹慎編輯)'!$B:$B, '資料源(請謹慎編輯)'!K:K, 0)</f>
        <v>#NAME?</v>
      </c>
      <c r="L3" s="14" t="e">
        <f t="array" aca="1" ref="L3" ca="1">XLOOKUP($B3, '資料源(請謹慎編輯)'!$B:$B, '資料源(請謹慎編輯)'!L:L, 0)</f>
        <v>#NAME?</v>
      </c>
      <c r="M3" s="13" t="e">
        <f t="array" aca="1" ref="M3" ca="1">XLOOKUP($B3, '資料源(請謹慎編輯)'!$B:$B, '資料源(請謹慎編輯)'!M:M, 0)</f>
        <v>#NAME?</v>
      </c>
      <c r="N3" s="14" t="e">
        <f t="array" aca="1" ref="N3" ca="1">XLOOKUP($B3, '資料源(請謹慎編輯)'!$B:$B, '資料源(請謹慎編輯)'!N:N, 0)</f>
        <v>#NAME?</v>
      </c>
      <c r="O3" s="15" t="e">
        <f t="array" aca="1" ref="O3" ca="1">XLOOKUP($B3, '資料源(請謹慎編輯)'!$B:$B, '資料源(請謹慎編輯)'!O:O, 0)</f>
        <v>#NAME?</v>
      </c>
      <c r="P3" s="10" t="e">
        <f t="array" aca="1" ref="P3" ca="1">XLOOKUP($B3, '資料源(請謹慎編輯)'!$B:$B, '資料源(請謹慎編輯)'!P:P, 0)</f>
        <v>#NAME?</v>
      </c>
      <c r="Q3" s="9" t="e">
        <f t="array" aca="1" ref="Q3" ca="1">XLOOKUP($B3, '資料源(請謹慎編輯)'!$B:$B, '資料源(請謹慎編輯)'!Q:Q, 0)</f>
        <v>#NAME?</v>
      </c>
      <c r="R3" s="10" t="e">
        <f t="array" aca="1" ref="R3" ca="1">XLOOKUP($B3, '資料源(請謹慎編輯)'!$B:$B, '資料源(請謹慎編輯)'!R:R, 0)</f>
        <v>#NAME?</v>
      </c>
      <c r="S3" s="9" t="e">
        <f t="array" aca="1" ref="S3" ca="1">XLOOKUP($B3, '資料源(請謹慎編輯)'!$B:$B, '資料源(請謹慎編輯)'!S:S, 0)</f>
        <v>#NAME?</v>
      </c>
      <c r="T3" s="10" t="e">
        <f t="array" aca="1" ref="T3" ca="1">XLOOKUP($B3, '資料源(請謹慎編輯)'!$B:$B, '資料源(請謹慎編輯)'!T:T, 0)</f>
        <v>#NAME?</v>
      </c>
      <c r="U3" s="9" t="e">
        <f t="array" aca="1" ref="U3" ca="1">XLOOKUP($B3, '資料源(請謹慎編輯)'!$B:$B, '資料源(請謹慎編輯)'!U:U, 0)</f>
        <v>#NAME?</v>
      </c>
      <c r="V3" s="10" t="e">
        <f t="array" aca="1" ref="V3" ca="1">XLOOKUP($B3, '資料源(請謹慎編輯)'!$B:$B, '資料源(請謹慎編輯)'!V:V, 0)</f>
        <v>#NAME?</v>
      </c>
      <c r="W3" s="9" t="e">
        <f t="array" aca="1" ref="W3" ca="1">XLOOKUP($B3, '資料源(請謹慎編輯)'!$B:$B, '資料源(請謹慎編輯)'!W:W, 0)</f>
        <v>#NAME?</v>
      </c>
      <c r="X3" s="10" t="e">
        <f t="array" aca="1" ref="X3" ca="1">XLOOKUP($B3, '資料源(請謹慎編輯)'!$B:$B, '資料源(請謹慎編輯)'!X:X, 0)</f>
        <v>#NAME?</v>
      </c>
      <c r="Y3" s="9" t="e">
        <f t="array" aca="1" ref="Y3" ca="1">XLOOKUP($B3, '資料源(請謹慎編輯)'!$B:$B, '資料源(請謹慎編輯)'!Y:Y, 0)</f>
        <v>#NAME?</v>
      </c>
      <c r="Z3" s="11" t="e">
        <f t="array" aca="1" ref="Z3" ca="1">XLOOKUP($B3, '資料源(請謹慎編輯)'!$B:$B, '資料源(請謹慎編輯)'!Z:Z, 0)</f>
        <v>#NAME?</v>
      </c>
    </row>
    <row r="4" spans="1:26" ht="18.75" customHeight="1">
      <c r="A4" s="5" t="s">
        <v>28</v>
      </c>
      <c r="B4" s="28" t="s">
        <v>29</v>
      </c>
      <c r="C4" s="13" t="e">
        <f t="array" aca="1" ref="C4" ca="1">XLOOKUP($B4, '資料源(請謹慎編輯)'!$B:$B, '資料源(請謹慎編輯)'!C:C, 0)</f>
        <v>#NAME?</v>
      </c>
      <c r="D4" s="14" t="e">
        <f t="array" aca="1" ref="D4" ca="1">XLOOKUP($B4, '資料源(請謹慎編輯)'!$B:$B, '資料源(請謹慎編輯)'!D:D, 0)</f>
        <v>#NAME?</v>
      </c>
      <c r="E4" s="13" t="e">
        <f t="array" aca="1" ref="E4" ca="1">XLOOKUP($B4, '資料源(請謹慎編輯)'!$B:$B, '資料源(請謹慎編輯)'!E:E, 0)</f>
        <v>#NAME?</v>
      </c>
      <c r="F4" s="14" t="e">
        <f t="array" aca="1" ref="F4" ca="1">XLOOKUP($B4, '資料源(請謹慎編輯)'!$B:$B, '資料源(請謹慎編輯)'!F:F, 0)</f>
        <v>#NAME?</v>
      </c>
      <c r="G4" s="13" t="e">
        <f t="array" aca="1" ref="G4" ca="1">XLOOKUP($B4, '資料源(請謹慎編輯)'!$B:$B, '資料源(請謹慎編輯)'!G:G, 0)</f>
        <v>#NAME?</v>
      </c>
      <c r="H4" s="14" t="e">
        <f t="array" aca="1" ref="H4" ca="1">XLOOKUP($B4, '資料源(請謹慎編輯)'!$B:$B, '資料源(請謹慎編輯)'!H:H, 0)</f>
        <v>#NAME?</v>
      </c>
      <c r="I4" s="13" t="e">
        <f t="array" aca="1" ref="I4" ca="1">XLOOKUP($B4, '資料源(請謹慎編輯)'!$B:$B, '資料源(請謹慎編輯)'!I:I, 0)</f>
        <v>#NAME?</v>
      </c>
      <c r="J4" s="14" t="e">
        <f t="array" aca="1" ref="J4" ca="1">XLOOKUP($B4, '資料源(請謹慎編輯)'!$B:$B, '資料源(請謹慎編輯)'!J:J, 0)</f>
        <v>#NAME?</v>
      </c>
      <c r="K4" s="13" t="e">
        <f t="array" aca="1" ref="K4" ca="1">XLOOKUP($B4, '資料源(請謹慎編輯)'!$B:$B, '資料源(請謹慎編輯)'!K:K, 0)</f>
        <v>#NAME?</v>
      </c>
      <c r="L4" s="14" t="e">
        <f t="array" aca="1" ref="L4" ca="1">XLOOKUP($B4, '資料源(請謹慎編輯)'!$B:$B, '資料源(請謹慎編輯)'!L:L, 0)</f>
        <v>#NAME?</v>
      </c>
      <c r="M4" s="13" t="e">
        <f t="array" aca="1" ref="M4" ca="1">XLOOKUP($B4, '資料源(請謹慎編輯)'!$B:$B, '資料源(請謹慎編輯)'!M:M, 0)</f>
        <v>#NAME?</v>
      </c>
      <c r="N4" s="14" t="e">
        <f t="array" aca="1" ref="N4" ca="1">XLOOKUP($B4, '資料源(請謹慎編輯)'!$B:$B, '資料源(請謹慎編輯)'!N:N, 0)</f>
        <v>#NAME?</v>
      </c>
      <c r="O4" s="9" t="e">
        <f t="array" aca="1" ref="O4" ca="1">XLOOKUP($B4, '資料源(請謹慎編輯)'!$B:$B, '資料源(請謹慎編輯)'!O:O, 0)</f>
        <v>#NAME?</v>
      </c>
      <c r="P4" s="10" t="e">
        <f t="array" aca="1" ref="P4" ca="1">XLOOKUP($B4, '資料源(請謹慎編輯)'!$B:$B, '資料源(請謹慎編輯)'!P:P, 0)</f>
        <v>#NAME?</v>
      </c>
      <c r="Q4" s="9" t="e">
        <f t="array" aca="1" ref="Q4" ca="1">XLOOKUP($B4, '資料源(請謹慎編輯)'!$B:$B, '資料源(請謹慎編輯)'!Q:Q, 0)</f>
        <v>#NAME?</v>
      </c>
      <c r="R4" s="10" t="e">
        <f t="array" aca="1" ref="R4" ca="1">XLOOKUP($B4, '資料源(請謹慎編輯)'!$B:$B, '資料源(請謹慎編輯)'!R:R, 0)</f>
        <v>#NAME?</v>
      </c>
      <c r="S4" s="9" t="e">
        <f t="array" aca="1" ref="S4" ca="1">XLOOKUP($B4, '資料源(請謹慎編輯)'!$B:$B, '資料源(請謹慎編輯)'!S:S, 0)</f>
        <v>#NAME?</v>
      </c>
      <c r="T4" s="10" t="e">
        <f t="array" aca="1" ref="T4" ca="1">XLOOKUP($B4, '資料源(請謹慎編輯)'!$B:$B, '資料源(請謹慎編輯)'!T:T, 0)</f>
        <v>#NAME?</v>
      </c>
      <c r="U4" s="9" t="e">
        <f t="array" aca="1" ref="U4" ca="1">XLOOKUP($B4, '資料源(請謹慎編輯)'!$B:$B, '資料源(請謹慎編輯)'!U:U, 0)</f>
        <v>#NAME?</v>
      </c>
      <c r="V4" s="10" t="e">
        <f t="array" aca="1" ref="V4" ca="1">XLOOKUP($B4, '資料源(請謹慎編輯)'!$B:$B, '資料源(請謹慎編輯)'!V:V, 0)</f>
        <v>#NAME?</v>
      </c>
      <c r="W4" s="9" t="e">
        <f t="array" aca="1" ref="W4" ca="1">XLOOKUP($B4, '資料源(請謹慎編輯)'!$B:$B, '資料源(請謹慎編輯)'!W:W, 0)</f>
        <v>#NAME?</v>
      </c>
      <c r="X4" s="10" t="e">
        <f t="array" aca="1" ref="X4" ca="1">XLOOKUP($B4, '資料源(請謹慎編輯)'!$B:$B, '資料源(請謹慎編輯)'!X:X, 0)</f>
        <v>#NAME?</v>
      </c>
      <c r="Y4" s="9" t="e">
        <f t="array" aca="1" ref="Y4" ca="1">XLOOKUP($B4, '資料源(請謹慎編輯)'!$B:$B, '資料源(請謹慎編輯)'!Y:Y, 0)</f>
        <v>#NAME?</v>
      </c>
      <c r="Z4" s="11" t="e">
        <f t="array" aca="1" ref="Z4" ca="1">XLOOKUP($B4, '資料源(請謹慎編輯)'!$B:$B, '資料源(請謹慎編輯)'!Z:Z, 0)</f>
        <v>#NAME?</v>
      </c>
    </row>
    <row r="5" spans="1:26" ht="18.75" customHeight="1">
      <c r="A5" s="5" t="s">
        <v>28</v>
      </c>
      <c r="B5" s="28" t="s">
        <v>29</v>
      </c>
      <c r="C5" s="13" t="e">
        <f t="array" aca="1" ref="C5" ca="1">XLOOKUP($B5, '資料源(請謹慎編輯)'!$B:$B, '資料源(請謹慎編輯)'!C:C, 0)</f>
        <v>#NAME?</v>
      </c>
      <c r="D5" s="14" t="e">
        <f t="array" aca="1" ref="D5" ca="1">XLOOKUP($B5, '資料源(請謹慎編輯)'!$B:$B, '資料源(請謹慎編輯)'!D:D, 0)</f>
        <v>#NAME?</v>
      </c>
      <c r="E5" s="13" t="e">
        <f t="array" aca="1" ref="E5" ca="1">XLOOKUP($B5, '資料源(請謹慎編輯)'!$B:$B, '資料源(請謹慎編輯)'!E:E, 0)</f>
        <v>#NAME?</v>
      </c>
      <c r="F5" s="14" t="e">
        <f t="array" aca="1" ref="F5" ca="1">XLOOKUP($B5, '資料源(請謹慎編輯)'!$B:$B, '資料源(請謹慎編輯)'!F:F, 0)</f>
        <v>#NAME?</v>
      </c>
      <c r="G5" s="13" t="e">
        <f t="array" aca="1" ref="G5" ca="1">XLOOKUP($B5, '資料源(請謹慎編輯)'!$B:$B, '資料源(請謹慎編輯)'!G:G, 0)</f>
        <v>#NAME?</v>
      </c>
      <c r="H5" s="14" t="e">
        <f t="array" aca="1" ref="H5" ca="1">XLOOKUP($B5, '資料源(請謹慎編輯)'!$B:$B, '資料源(請謹慎編輯)'!H:H, 0)</f>
        <v>#NAME?</v>
      </c>
      <c r="I5" s="13" t="e">
        <f t="array" aca="1" ref="I5" ca="1">XLOOKUP($B5, '資料源(請謹慎編輯)'!$B:$B, '資料源(請謹慎編輯)'!I:I, 0)</f>
        <v>#NAME?</v>
      </c>
      <c r="J5" s="14" t="e">
        <f t="array" aca="1" ref="J5" ca="1">XLOOKUP($B5, '資料源(請謹慎編輯)'!$B:$B, '資料源(請謹慎編輯)'!J:J, 0)</f>
        <v>#NAME?</v>
      </c>
      <c r="K5" s="13" t="e">
        <f t="array" aca="1" ref="K5" ca="1">XLOOKUP($B5, '資料源(請謹慎編輯)'!$B:$B, '資料源(請謹慎編輯)'!K:K, 0)</f>
        <v>#NAME?</v>
      </c>
      <c r="L5" s="14" t="e">
        <f t="array" aca="1" ref="L5" ca="1">XLOOKUP($B5, '資料源(請謹慎編輯)'!$B:$B, '資料源(請謹慎編輯)'!L:L, 0)</f>
        <v>#NAME?</v>
      </c>
      <c r="M5" s="13" t="e">
        <f t="array" aca="1" ref="M5" ca="1">XLOOKUP($B5, '資料源(請謹慎編輯)'!$B:$B, '資料源(請謹慎編輯)'!M:M, 0)</f>
        <v>#NAME?</v>
      </c>
      <c r="N5" s="16" t="e">
        <f t="array" aca="1" ref="N5" ca="1">XLOOKUP($B5, '資料源(請謹慎編輯)'!$B:$B, '資料源(請謹慎編輯)'!N:N, 0)</f>
        <v>#NAME?</v>
      </c>
      <c r="O5" s="9" t="e">
        <f t="array" aca="1" ref="O5" ca="1">XLOOKUP($B5, '資料源(請謹慎編輯)'!$B:$B, '資料源(請謹慎編輯)'!O:O, 0)</f>
        <v>#NAME?</v>
      </c>
      <c r="P5" s="10" t="e">
        <f t="array" aca="1" ref="P5" ca="1">XLOOKUP($B5, '資料源(請謹慎編輯)'!$B:$B, '資料源(請謹慎編輯)'!P:P, 0)</f>
        <v>#NAME?</v>
      </c>
      <c r="Q5" s="9" t="e">
        <f t="array" aca="1" ref="Q5" ca="1">XLOOKUP($B5, '資料源(請謹慎編輯)'!$B:$B, '資料源(請謹慎編輯)'!Q:Q, 0)</f>
        <v>#NAME?</v>
      </c>
      <c r="R5" s="10" t="e">
        <f t="array" aca="1" ref="R5" ca="1">XLOOKUP($B5, '資料源(請謹慎編輯)'!$B:$B, '資料源(請謹慎編輯)'!R:R, 0)</f>
        <v>#NAME?</v>
      </c>
      <c r="S5" s="9" t="e">
        <f t="array" aca="1" ref="S5" ca="1">XLOOKUP($B5, '資料源(請謹慎編輯)'!$B:$B, '資料源(請謹慎編輯)'!S:S, 0)</f>
        <v>#NAME?</v>
      </c>
      <c r="T5" s="10" t="e">
        <f t="array" aca="1" ref="T5" ca="1">XLOOKUP($B5, '資料源(請謹慎編輯)'!$B:$B, '資料源(請謹慎編輯)'!T:T, 0)</f>
        <v>#NAME?</v>
      </c>
      <c r="U5" s="9" t="e">
        <f t="array" aca="1" ref="U5" ca="1">XLOOKUP($B5, '資料源(請謹慎編輯)'!$B:$B, '資料源(請謹慎編輯)'!U:U, 0)</f>
        <v>#NAME?</v>
      </c>
      <c r="V5" s="10" t="e">
        <f t="array" aca="1" ref="V5" ca="1">XLOOKUP($B5, '資料源(請謹慎編輯)'!$B:$B, '資料源(請謹慎編輯)'!V:V, 0)</f>
        <v>#NAME?</v>
      </c>
      <c r="W5" s="9" t="e">
        <f t="array" aca="1" ref="W5" ca="1">XLOOKUP($B5, '資料源(請謹慎編輯)'!$B:$B, '資料源(請謹慎編輯)'!W:W, 0)</f>
        <v>#NAME?</v>
      </c>
      <c r="X5" s="10" t="e">
        <f t="array" aca="1" ref="X5" ca="1">XLOOKUP($B5, '資料源(請謹慎編輯)'!$B:$B, '資料源(請謹慎編輯)'!X:X, 0)</f>
        <v>#NAME?</v>
      </c>
      <c r="Y5" s="9" t="e">
        <f t="array" aca="1" ref="Y5" ca="1">XLOOKUP($B5, '資料源(請謹慎編輯)'!$B:$B, '資料源(請謹慎編輯)'!Y:Y, 0)</f>
        <v>#NAME?</v>
      </c>
      <c r="Z5" s="11" t="e">
        <f t="array" aca="1" ref="Z5" ca="1">XLOOKUP($B5, '資料源(請謹慎編輯)'!$B:$B, '資料源(請謹慎編輯)'!Z:Z, 0)</f>
        <v>#NAME?</v>
      </c>
    </row>
    <row r="6" spans="1:26" ht="18.75" customHeight="1">
      <c r="A6" s="5" t="s">
        <v>30</v>
      </c>
      <c r="B6" s="28" t="s">
        <v>49</v>
      </c>
      <c r="C6" s="15" t="e">
        <f t="array" aca="1" ref="C6" ca="1">XLOOKUP($B6, '資料源(請謹慎編輯)'!$B:$B, '資料源(請謹慎編輯)'!C:C, 0)</f>
        <v>#NAME?</v>
      </c>
      <c r="D6" s="16" t="e">
        <f t="array" aca="1" ref="D6" ca="1">XLOOKUP($B6, '資料源(請謹慎編輯)'!$B:$B, '資料源(請謹慎編輯)'!D:D, 0)</f>
        <v>#NAME?</v>
      </c>
      <c r="E6" s="15" t="e">
        <f t="array" aca="1" ref="E6" ca="1">XLOOKUP($B6, '資料源(請謹慎編輯)'!$B:$B, '資料源(請謹慎編輯)'!E:E, 0)</f>
        <v>#NAME?</v>
      </c>
      <c r="F6" s="16" t="e">
        <f t="array" aca="1" ref="F6" ca="1">XLOOKUP($B6, '資料源(請謹慎編輯)'!$B:$B, '資料源(請謹慎編輯)'!F:F, 0)</f>
        <v>#NAME?</v>
      </c>
      <c r="G6" s="15" t="e">
        <f t="array" aca="1" ref="G6" ca="1">XLOOKUP($B6, '資料源(請謹慎編輯)'!$B:$B, '資料源(請謹慎編輯)'!G:G, 0)</f>
        <v>#NAME?</v>
      </c>
      <c r="H6" s="16" t="e">
        <f t="array" aca="1" ref="H6" ca="1">XLOOKUP($B6, '資料源(請謹慎編輯)'!$B:$B, '資料源(請謹慎編輯)'!H:H, 0)</f>
        <v>#NAME?</v>
      </c>
      <c r="I6" s="15" t="e">
        <f t="array" aca="1" ref="I6" ca="1">XLOOKUP($B6, '資料源(請謹慎編輯)'!$B:$B, '資料源(請謹慎編輯)'!I:I, 0)</f>
        <v>#NAME?</v>
      </c>
      <c r="J6" s="16" t="e">
        <f t="array" aca="1" ref="J6" ca="1">XLOOKUP($B6, '資料源(請謹慎編輯)'!$B:$B, '資料源(請謹慎編輯)'!J:J, 0)</f>
        <v>#NAME?</v>
      </c>
      <c r="K6" s="15" t="e">
        <f t="array" aca="1" ref="K6" ca="1">XLOOKUP($B6, '資料源(請謹慎編輯)'!$B:$B, '資料源(請謹慎編輯)'!K:K, 0)</f>
        <v>#NAME?</v>
      </c>
      <c r="L6" s="16" t="e">
        <f t="array" aca="1" ref="L6" ca="1">XLOOKUP($B6, '資料源(請謹慎編輯)'!$B:$B, '資料源(請謹慎編輯)'!L:L, 0)</f>
        <v>#NAME?</v>
      </c>
      <c r="M6" s="15" t="e">
        <f t="array" aca="1" ref="M6" ca="1">XLOOKUP($B6, '資料源(請謹慎編輯)'!$B:$B, '資料源(請謹慎編輯)'!M:M, 0)</f>
        <v>#NAME?</v>
      </c>
      <c r="N6" s="16" t="e">
        <f t="array" aca="1" ref="N6" ca="1">XLOOKUP($B6, '資料源(請謹慎編輯)'!$B:$B, '資料源(請謹慎編輯)'!N:N, 0)</f>
        <v>#NAME?</v>
      </c>
      <c r="O6" s="9" t="e">
        <f t="array" aca="1" ref="O6" ca="1">XLOOKUP($B6, '資料源(請謹慎編輯)'!$B:$B, '資料源(請謹慎編輯)'!O:O, 0)</f>
        <v>#NAME?</v>
      </c>
      <c r="P6" s="10" t="e">
        <f t="array" aca="1" ref="P6" ca="1">XLOOKUP($B6, '資料源(請謹慎編輯)'!$B:$B, '資料源(請謹慎編輯)'!P:P, 0)</f>
        <v>#NAME?</v>
      </c>
      <c r="Q6" s="9" t="e">
        <f t="array" aca="1" ref="Q6" ca="1">XLOOKUP($B6, '資料源(請謹慎編輯)'!$B:$B, '資料源(請謹慎編輯)'!Q:Q, 0)</f>
        <v>#NAME?</v>
      </c>
      <c r="R6" s="10" t="e">
        <f t="array" aca="1" ref="R6" ca="1">XLOOKUP($B6, '資料源(請謹慎編輯)'!$B:$B, '資料源(請謹慎編輯)'!R:R, 0)</f>
        <v>#NAME?</v>
      </c>
      <c r="S6" s="9" t="e">
        <f t="array" aca="1" ref="S6" ca="1">XLOOKUP($B6, '資料源(請謹慎編輯)'!$B:$B, '資料源(請謹慎編輯)'!S:S, 0)</f>
        <v>#NAME?</v>
      </c>
      <c r="T6" s="10" t="e">
        <f t="array" aca="1" ref="T6" ca="1">XLOOKUP($B6, '資料源(請謹慎編輯)'!$B:$B, '資料源(請謹慎編輯)'!T:T, 0)</f>
        <v>#NAME?</v>
      </c>
      <c r="U6" s="9" t="e">
        <f t="array" aca="1" ref="U6" ca="1">XLOOKUP($B6, '資料源(請謹慎編輯)'!$B:$B, '資料源(請謹慎編輯)'!U:U, 0)</f>
        <v>#NAME?</v>
      </c>
      <c r="V6" s="10" t="e">
        <f t="array" aca="1" ref="V6" ca="1">XLOOKUP($B6, '資料源(請謹慎編輯)'!$B:$B, '資料源(請謹慎編輯)'!V:V, 0)</f>
        <v>#NAME?</v>
      </c>
      <c r="W6" s="9" t="e">
        <f t="array" aca="1" ref="W6" ca="1">XLOOKUP($B6, '資料源(請謹慎編輯)'!$B:$B, '資料源(請謹慎編輯)'!W:W, 0)</f>
        <v>#NAME?</v>
      </c>
      <c r="X6" s="10" t="e">
        <f t="array" aca="1" ref="X6" ca="1">XLOOKUP($B6, '資料源(請謹慎編輯)'!$B:$B, '資料源(請謹慎編輯)'!X:X, 0)</f>
        <v>#NAME?</v>
      </c>
      <c r="Y6" s="9" t="e">
        <f t="array" aca="1" ref="Y6" ca="1">XLOOKUP($B6, '資料源(請謹慎編輯)'!$B:$B, '資料源(請謹慎編輯)'!Y:Y, 0)</f>
        <v>#NAME?</v>
      </c>
      <c r="Z6" s="11" t="e">
        <f t="array" aca="1" ref="Z6" ca="1">XLOOKUP($B6, '資料源(請謹慎編輯)'!$B:$B, '資料源(請謹慎編輯)'!Z:Z, 0)</f>
        <v>#NAME?</v>
      </c>
    </row>
    <row r="7" spans="1:26" ht="18.75" customHeight="1">
      <c r="A7" s="5" t="s">
        <v>32</v>
      </c>
      <c r="B7" s="28" t="s">
        <v>33</v>
      </c>
      <c r="C7" s="15" t="e">
        <f t="array" aca="1" ref="C7" ca="1">XLOOKUP($B7, '資料源(請謹慎編輯)'!$B:$B, '資料源(請謹慎編輯)'!C:C, 0)</f>
        <v>#NAME?</v>
      </c>
      <c r="D7" s="16" t="e">
        <f t="array" aca="1" ref="D7" ca="1">XLOOKUP($B7, '資料源(請謹慎編輯)'!$B:$B, '資料源(請謹慎編輯)'!D:D, 0)</f>
        <v>#NAME?</v>
      </c>
      <c r="E7" s="15" t="e">
        <f t="array" aca="1" ref="E7" ca="1">XLOOKUP($B7, '資料源(請謹慎編輯)'!$B:$B, '資料源(請謹慎編輯)'!E:E, 0)</f>
        <v>#NAME?</v>
      </c>
      <c r="F7" s="16" t="e">
        <f t="array" aca="1" ref="F7" ca="1">XLOOKUP($B7, '資料源(請謹慎編輯)'!$B:$B, '資料源(請謹慎編輯)'!F:F, 0)</f>
        <v>#NAME?</v>
      </c>
      <c r="G7" s="15" t="e">
        <f t="array" aca="1" ref="G7" ca="1">XLOOKUP($B7, '資料源(請謹慎編輯)'!$B:$B, '資料源(請謹慎編輯)'!G:G, 0)</f>
        <v>#NAME?</v>
      </c>
      <c r="H7" s="16" t="e">
        <f t="array" aca="1" ref="H7" ca="1">XLOOKUP($B7, '資料源(請謹慎編輯)'!$B:$B, '資料源(請謹慎編輯)'!H:H, 0)</f>
        <v>#NAME?</v>
      </c>
      <c r="I7" s="15" t="e">
        <f t="array" aca="1" ref="I7" ca="1">XLOOKUP($B7, '資料源(請謹慎編輯)'!$B:$B, '資料源(請謹慎編輯)'!I:I, 0)</f>
        <v>#NAME?</v>
      </c>
      <c r="J7" s="16" t="e">
        <f t="array" aca="1" ref="J7" ca="1">XLOOKUP($B7, '資料源(請謹慎編輯)'!$B:$B, '資料源(請謹慎編輯)'!J:J, 0)</f>
        <v>#NAME?</v>
      </c>
      <c r="K7" s="15" t="e">
        <f t="array" aca="1" ref="K7" ca="1">XLOOKUP($B7, '資料源(請謹慎編輯)'!$B:$B, '資料源(請謹慎編輯)'!K:K, 0)</f>
        <v>#NAME?</v>
      </c>
      <c r="L7" s="16" t="e">
        <f t="array" aca="1" ref="L7" ca="1">XLOOKUP($B7, '資料源(請謹慎編輯)'!$B:$B, '資料源(請謹慎編輯)'!L:L, 0)</f>
        <v>#NAME?</v>
      </c>
      <c r="M7" s="15" t="e">
        <f t="array" aca="1" ref="M7" ca="1">XLOOKUP($B7, '資料源(請謹慎編輯)'!$B:$B, '資料源(請謹慎編輯)'!M:M, 0)</f>
        <v>#NAME?</v>
      </c>
      <c r="N7" s="16" t="e">
        <f t="array" aca="1" ref="N7" ca="1">XLOOKUP($B7, '資料源(請謹慎編輯)'!$B:$B, '資料源(請謹慎編輯)'!N:N, 0)</f>
        <v>#NAME?</v>
      </c>
      <c r="O7" s="9" t="e">
        <f t="array" aca="1" ref="O7" ca="1">XLOOKUP($B7, '資料源(請謹慎編輯)'!$B:$B, '資料源(請謹慎編輯)'!O:O, 0)</f>
        <v>#NAME?</v>
      </c>
      <c r="P7" s="10" t="e">
        <f t="array" aca="1" ref="P7" ca="1">XLOOKUP($B7, '資料源(請謹慎編輯)'!$B:$B, '資料源(請謹慎編輯)'!P:P, 0)</f>
        <v>#NAME?</v>
      </c>
      <c r="Q7" s="9" t="e">
        <f t="array" aca="1" ref="Q7" ca="1">XLOOKUP($B7, '資料源(請謹慎編輯)'!$B:$B, '資料源(請謹慎編輯)'!Q:Q, 0)</f>
        <v>#NAME?</v>
      </c>
      <c r="R7" s="10" t="e">
        <f t="array" aca="1" ref="R7" ca="1">XLOOKUP($B7, '資料源(請謹慎編輯)'!$B:$B, '資料源(請謹慎編輯)'!R:R, 0)</f>
        <v>#NAME?</v>
      </c>
      <c r="S7" s="9" t="e">
        <f t="array" aca="1" ref="S7" ca="1">XLOOKUP($B7, '資料源(請謹慎編輯)'!$B:$B, '資料源(請謹慎編輯)'!S:S, 0)</f>
        <v>#NAME?</v>
      </c>
      <c r="T7" s="10" t="e">
        <f t="array" aca="1" ref="T7" ca="1">XLOOKUP($B7, '資料源(請謹慎編輯)'!$B:$B, '資料源(請謹慎編輯)'!T:T, 0)</f>
        <v>#NAME?</v>
      </c>
      <c r="U7" s="9" t="e">
        <f t="array" aca="1" ref="U7" ca="1">XLOOKUP($B7, '資料源(請謹慎編輯)'!$B:$B, '資料源(請謹慎編輯)'!U:U, 0)</f>
        <v>#NAME?</v>
      </c>
      <c r="V7" s="10" t="e">
        <f t="array" aca="1" ref="V7" ca="1">XLOOKUP($B7, '資料源(請謹慎編輯)'!$B:$B, '資料源(請謹慎編輯)'!V:V, 0)</f>
        <v>#NAME?</v>
      </c>
      <c r="W7" s="9" t="e">
        <f t="array" aca="1" ref="W7" ca="1">XLOOKUP($B7, '資料源(請謹慎編輯)'!$B:$B, '資料源(請謹慎編輯)'!W:W, 0)</f>
        <v>#NAME?</v>
      </c>
      <c r="X7" s="10" t="e">
        <f t="array" aca="1" ref="X7" ca="1">XLOOKUP($B7, '資料源(請謹慎編輯)'!$B:$B, '資料源(請謹慎編輯)'!X:X, 0)</f>
        <v>#NAME?</v>
      </c>
      <c r="Y7" s="9" t="e">
        <f t="array" aca="1" ref="Y7" ca="1">XLOOKUP($B7, '資料源(請謹慎編輯)'!$B:$B, '資料源(請謹慎編輯)'!Y:Y, 0)</f>
        <v>#NAME?</v>
      </c>
      <c r="Z7" s="11" t="e">
        <f t="array" aca="1" ref="Z7" ca="1">XLOOKUP($B7, '資料源(請謹慎編輯)'!$B:$B, '資料源(請謹慎編輯)'!Z:Z, 0)</f>
        <v>#NAME?</v>
      </c>
    </row>
    <row r="8" spans="1:26" ht="18.75" customHeight="1">
      <c r="A8" s="5" t="s">
        <v>34</v>
      </c>
      <c r="B8" s="28" t="s">
        <v>35</v>
      </c>
      <c r="C8" s="15" t="e">
        <f t="array" aca="1" ref="C8" ca="1">XLOOKUP($B8, '資料源(請謹慎編輯)'!$B:$B, '資料源(請謹慎編輯)'!C:C, 0)</f>
        <v>#NAME?</v>
      </c>
      <c r="D8" s="16" t="e">
        <f t="array" aca="1" ref="D8" ca="1">XLOOKUP($B8, '資料源(請謹慎編輯)'!$B:$B, '資料源(請謹慎編輯)'!D:D, 0)</f>
        <v>#NAME?</v>
      </c>
      <c r="E8" s="15" t="e">
        <f t="array" aca="1" ref="E8" ca="1">XLOOKUP($B8, '資料源(請謹慎編輯)'!$B:$B, '資料源(請謹慎編輯)'!E:E, 0)</f>
        <v>#NAME?</v>
      </c>
      <c r="F8" s="16" t="e">
        <f t="array" aca="1" ref="F8" ca="1">XLOOKUP($B8, '資料源(請謹慎編輯)'!$B:$B, '資料源(請謹慎編輯)'!F:F, 0)</f>
        <v>#NAME?</v>
      </c>
      <c r="G8" s="15" t="e">
        <f t="array" aca="1" ref="G8" ca="1">XLOOKUP($B8, '資料源(請謹慎編輯)'!$B:$B, '資料源(請謹慎編輯)'!G:G, 0)</f>
        <v>#NAME?</v>
      </c>
      <c r="H8" s="16" t="e">
        <f t="array" aca="1" ref="H8" ca="1">XLOOKUP($B8, '資料源(請謹慎編輯)'!$B:$B, '資料源(請謹慎編輯)'!H:H, 0)</f>
        <v>#NAME?</v>
      </c>
      <c r="I8" s="15" t="e">
        <f t="array" aca="1" ref="I8" ca="1">XLOOKUP($B8, '資料源(請謹慎編輯)'!$B:$B, '資料源(請謹慎編輯)'!I:I, 0)</f>
        <v>#NAME?</v>
      </c>
      <c r="J8" s="16" t="e">
        <f t="array" aca="1" ref="J8" ca="1">XLOOKUP($B8, '資料源(請謹慎編輯)'!$B:$B, '資料源(請謹慎編輯)'!J:J, 0)</f>
        <v>#NAME?</v>
      </c>
      <c r="K8" s="15" t="e">
        <f t="array" aca="1" ref="K8" ca="1">XLOOKUP($B8, '資料源(請謹慎編輯)'!$B:$B, '資料源(請謹慎編輯)'!K:K, 0)</f>
        <v>#NAME?</v>
      </c>
      <c r="L8" s="16" t="e">
        <f t="array" aca="1" ref="L8" ca="1">XLOOKUP($B8, '資料源(請謹慎編輯)'!$B:$B, '資料源(請謹慎編輯)'!L:L, 0)</f>
        <v>#NAME?</v>
      </c>
      <c r="M8" s="15" t="e">
        <f t="array" aca="1" ref="M8" ca="1">XLOOKUP($B8, '資料源(請謹慎編輯)'!$B:$B, '資料源(請謹慎編輯)'!M:M, 0)</f>
        <v>#NAME?</v>
      </c>
      <c r="N8" s="16" t="e">
        <f t="array" aca="1" ref="N8" ca="1">XLOOKUP($B8, '資料源(請謹慎編輯)'!$B:$B, '資料源(請謹慎編輯)'!N:N, 0)</f>
        <v>#NAME?</v>
      </c>
      <c r="O8" s="9" t="e">
        <f t="array" aca="1" ref="O8" ca="1">XLOOKUP($B8, '資料源(請謹慎編輯)'!$B:$B, '資料源(請謹慎編輯)'!O:O, 0)</f>
        <v>#NAME?</v>
      </c>
      <c r="P8" s="10" t="e">
        <f t="array" aca="1" ref="P8" ca="1">XLOOKUP($B8, '資料源(請謹慎編輯)'!$B:$B, '資料源(請謹慎編輯)'!P:P, 0)</f>
        <v>#NAME?</v>
      </c>
      <c r="Q8" s="9" t="e">
        <f t="array" aca="1" ref="Q8" ca="1">XLOOKUP($B8, '資料源(請謹慎編輯)'!$B:$B, '資料源(請謹慎編輯)'!Q:Q, 0)</f>
        <v>#NAME?</v>
      </c>
      <c r="R8" s="10" t="e">
        <f t="array" aca="1" ref="R8" ca="1">XLOOKUP($B8, '資料源(請謹慎編輯)'!$B:$B, '資料源(請謹慎編輯)'!R:R, 0)</f>
        <v>#NAME?</v>
      </c>
      <c r="S8" s="9" t="e">
        <f t="array" aca="1" ref="S8" ca="1">XLOOKUP($B8, '資料源(請謹慎編輯)'!$B:$B, '資料源(請謹慎編輯)'!S:S, 0)</f>
        <v>#NAME?</v>
      </c>
      <c r="T8" s="10" t="e">
        <f t="array" aca="1" ref="T8" ca="1">XLOOKUP($B8, '資料源(請謹慎編輯)'!$B:$B, '資料源(請謹慎編輯)'!T:T, 0)</f>
        <v>#NAME?</v>
      </c>
      <c r="U8" s="9" t="e">
        <f t="array" aca="1" ref="U8" ca="1">XLOOKUP($B8, '資料源(請謹慎編輯)'!$B:$B, '資料源(請謹慎編輯)'!U:U, 0)</f>
        <v>#NAME?</v>
      </c>
      <c r="V8" s="10" t="e">
        <f t="array" aca="1" ref="V8" ca="1">XLOOKUP($B8, '資料源(請謹慎編輯)'!$B:$B, '資料源(請謹慎編輯)'!V:V, 0)</f>
        <v>#NAME?</v>
      </c>
      <c r="W8" s="9" t="e">
        <f t="array" aca="1" ref="W8" ca="1">XLOOKUP($B8, '資料源(請謹慎編輯)'!$B:$B, '資料源(請謹慎編輯)'!W:W, 0)</f>
        <v>#NAME?</v>
      </c>
      <c r="X8" s="10" t="e">
        <f t="array" aca="1" ref="X8" ca="1">XLOOKUP($B8, '資料源(請謹慎編輯)'!$B:$B, '資料源(請謹慎編輯)'!X:X, 0)</f>
        <v>#NAME?</v>
      </c>
      <c r="Y8" s="9" t="e">
        <f t="array" aca="1" ref="Y8" ca="1">XLOOKUP($B8, '資料源(請謹慎編輯)'!$B:$B, '資料源(請謹慎編輯)'!Y:Y, 0)</f>
        <v>#NAME?</v>
      </c>
      <c r="Z8" s="11" t="e">
        <f t="array" aca="1" ref="Z8" ca="1">XLOOKUP($B8, '資料源(請謹慎編輯)'!$B:$B, '資料源(請謹慎編輯)'!Z:Z, 0)</f>
        <v>#NAME?</v>
      </c>
    </row>
    <row r="9" spans="1:26" ht="18.75" customHeight="1">
      <c r="A9" s="5" t="s">
        <v>36</v>
      </c>
      <c r="B9" s="28" t="s">
        <v>37</v>
      </c>
      <c r="C9" s="7" t="e">
        <f t="array" aca="1" ref="C9" ca="1">XLOOKUP($B9, '資料源(請謹慎編輯)'!$B:$B, '資料源(請謹慎編輯)'!C:C, 0)</f>
        <v>#NAME?</v>
      </c>
      <c r="D9" s="8" t="e">
        <f t="array" aca="1" ref="D9" ca="1">XLOOKUP($B9, '資料源(請謹慎編輯)'!$B:$B, '資料源(請謹慎編輯)'!D:D, 0)</f>
        <v>#NAME?</v>
      </c>
      <c r="E9" s="7" t="e">
        <f t="array" aca="1" ref="E9" ca="1">XLOOKUP($B9, '資料源(請謹慎編輯)'!$B:$B, '資料源(請謹慎編輯)'!E:E, 0)</f>
        <v>#NAME?</v>
      </c>
      <c r="F9" s="8" t="e">
        <f t="array" aca="1" ref="F9" ca="1">XLOOKUP($B9, '資料源(請謹慎編輯)'!$B:$B, '資料源(請謹慎編輯)'!F:F, 0)</f>
        <v>#NAME?</v>
      </c>
      <c r="G9" s="7" t="e">
        <f t="array" aca="1" ref="G9" ca="1">XLOOKUP($B9, '資料源(請謹慎編輯)'!$B:$B, '資料源(請謹慎編輯)'!G:G, 0)</f>
        <v>#NAME?</v>
      </c>
      <c r="H9" s="8" t="e">
        <f t="array" aca="1" ref="H9" ca="1">XLOOKUP($B9, '資料源(請謹慎編輯)'!$B:$B, '資料源(請謹慎編輯)'!H:H, 0)</f>
        <v>#NAME?</v>
      </c>
      <c r="I9" s="7" t="e">
        <f t="array" aca="1" ref="I9" ca="1">XLOOKUP($B9, '資料源(請謹慎編輯)'!$B:$B, '資料源(請謹慎編輯)'!I:I, 0)</f>
        <v>#NAME?</v>
      </c>
      <c r="J9" s="8" t="e">
        <f t="array" aca="1" ref="J9" ca="1">XLOOKUP($B9, '資料源(請謹慎編輯)'!$B:$B, '資料源(請謹慎編輯)'!J:J, 0)</f>
        <v>#NAME?</v>
      </c>
      <c r="K9" s="7" t="e">
        <f t="array" aca="1" ref="K9" ca="1">XLOOKUP($B9, '資料源(請謹慎編輯)'!$B:$B, '資料源(請謹慎編輯)'!K:K, 0)</f>
        <v>#NAME?</v>
      </c>
      <c r="L9" s="8" t="e">
        <f t="array" aca="1" ref="L9" ca="1">XLOOKUP($B9, '資料源(請謹慎編輯)'!$B:$B, '資料源(請謹慎編輯)'!L:L, 0)</f>
        <v>#NAME?</v>
      </c>
      <c r="M9" s="7" t="e">
        <f t="array" aca="1" ref="M9" ca="1">XLOOKUP($B9, '資料源(請謹慎編輯)'!$B:$B, '資料源(請謹慎編輯)'!M:M, 0)</f>
        <v>#NAME?</v>
      </c>
      <c r="N9" s="8" t="e">
        <f t="array" aca="1" ref="N9" ca="1">XLOOKUP($B9, '資料源(請謹慎編輯)'!$B:$B, '資料源(請謹慎編輯)'!N:N, 0)</f>
        <v>#NAME?</v>
      </c>
      <c r="O9" s="9" t="e">
        <f t="array" aca="1" ref="O9" ca="1">XLOOKUP($B9, '資料源(請謹慎編輯)'!$B:$B, '資料源(請謹慎編輯)'!O:O, 0)</f>
        <v>#NAME?</v>
      </c>
      <c r="P9" s="10" t="e">
        <f t="array" aca="1" ref="P9" ca="1">XLOOKUP($B9, '資料源(請謹慎編輯)'!$B:$B, '資料源(請謹慎編輯)'!P:P, 0)</f>
        <v>#NAME?</v>
      </c>
      <c r="Q9" s="9" t="e">
        <f t="array" aca="1" ref="Q9" ca="1">XLOOKUP($B9, '資料源(請謹慎編輯)'!$B:$B, '資料源(請謹慎編輯)'!Q:Q, 0)</f>
        <v>#NAME?</v>
      </c>
      <c r="R9" s="10" t="e">
        <f t="array" aca="1" ref="R9" ca="1">XLOOKUP($B9, '資料源(請謹慎編輯)'!$B:$B, '資料源(請謹慎編輯)'!R:R, 0)</f>
        <v>#NAME?</v>
      </c>
      <c r="S9" s="9" t="e">
        <f t="array" aca="1" ref="S9" ca="1">XLOOKUP($B9, '資料源(請謹慎編輯)'!$B:$B, '資料源(請謹慎編輯)'!S:S, 0)</f>
        <v>#NAME?</v>
      </c>
      <c r="T9" s="10" t="e">
        <f t="array" aca="1" ref="T9" ca="1">XLOOKUP($B9, '資料源(請謹慎編輯)'!$B:$B, '資料源(請謹慎編輯)'!T:T, 0)</f>
        <v>#NAME?</v>
      </c>
      <c r="U9" s="9" t="e">
        <f t="array" aca="1" ref="U9" ca="1">XLOOKUP($B9, '資料源(請謹慎編輯)'!$B:$B, '資料源(請謹慎編輯)'!U:U, 0)</f>
        <v>#NAME?</v>
      </c>
      <c r="V9" s="10" t="e">
        <f t="array" aca="1" ref="V9" ca="1">XLOOKUP($B9, '資料源(請謹慎編輯)'!$B:$B, '資料源(請謹慎編輯)'!V:V, 0)</f>
        <v>#NAME?</v>
      </c>
      <c r="W9" s="9" t="e">
        <f t="array" aca="1" ref="W9" ca="1">XLOOKUP($B9, '資料源(請謹慎編輯)'!$B:$B, '資料源(請謹慎編輯)'!W:W, 0)</f>
        <v>#NAME?</v>
      </c>
      <c r="X9" s="10" t="e">
        <f t="array" aca="1" ref="X9" ca="1">XLOOKUP($B9, '資料源(請謹慎編輯)'!$B:$B, '資料源(請謹慎編輯)'!X:X, 0)</f>
        <v>#NAME?</v>
      </c>
      <c r="Y9" s="9" t="e">
        <f t="array" aca="1" ref="Y9" ca="1">XLOOKUP($B9, '資料源(請謹慎編輯)'!$B:$B, '資料源(請謹慎編輯)'!Y:Y, 0)</f>
        <v>#NAME?</v>
      </c>
      <c r="Z9" s="11" t="e">
        <f t="array" aca="1" ref="Z9" ca="1">XLOOKUP($B9, '資料源(請謹慎編輯)'!$B:$B, '資料源(請謹慎編輯)'!Z:Z, 0)</f>
        <v>#NAME?</v>
      </c>
    </row>
    <row r="10" spans="1:26" ht="18.75" customHeight="1">
      <c r="A10" s="5" t="s">
        <v>38</v>
      </c>
      <c r="B10" s="28" t="s">
        <v>50</v>
      </c>
      <c r="C10" s="15" t="e">
        <f t="array" aca="1" ref="C10" ca="1">XLOOKUP($B10, '資料源(請謹慎編輯)'!$B:$B, '資料源(請謹慎編輯)'!C:C, 0)</f>
        <v>#NAME?</v>
      </c>
      <c r="D10" s="16" t="e">
        <f t="array" aca="1" ref="D10" ca="1">XLOOKUP($B10, '資料源(請謹慎編輯)'!$B:$B, '資料源(請謹慎編輯)'!D:D, 0)</f>
        <v>#NAME?</v>
      </c>
      <c r="E10" s="15" t="e">
        <f t="array" aca="1" ref="E10" ca="1">XLOOKUP($B10, '資料源(請謹慎編輯)'!$B:$B, '資料源(請謹慎編輯)'!E:E, 0)</f>
        <v>#NAME?</v>
      </c>
      <c r="F10" s="16" t="e">
        <f t="array" aca="1" ref="F10" ca="1">XLOOKUP($B10, '資料源(請謹慎編輯)'!$B:$B, '資料源(請謹慎編輯)'!F:F, 0)</f>
        <v>#NAME?</v>
      </c>
      <c r="G10" s="15" t="e">
        <f t="array" aca="1" ref="G10" ca="1">XLOOKUP($B10, '資料源(請謹慎編輯)'!$B:$B, '資料源(請謹慎編輯)'!G:G, 0)</f>
        <v>#NAME?</v>
      </c>
      <c r="H10" s="16" t="e">
        <f t="array" aca="1" ref="H10" ca="1">XLOOKUP($B10, '資料源(請謹慎編輯)'!$B:$B, '資料源(請謹慎編輯)'!H:H, 0)</f>
        <v>#NAME?</v>
      </c>
      <c r="I10" s="15" t="e">
        <f t="array" aca="1" ref="I10" ca="1">XLOOKUP($B10, '資料源(請謹慎編輯)'!$B:$B, '資料源(請謹慎編輯)'!I:I, 0)</f>
        <v>#NAME?</v>
      </c>
      <c r="J10" s="16" t="e">
        <f t="array" aca="1" ref="J10" ca="1">XLOOKUP($B10, '資料源(請謹慎編輯)'!$B:$B, '資料源(請謹慎編輯)'!J:J, 0)</f>
        <v>#NAME?</v>
      </c>
      <c r="K10" s="15" t="e">
        <f t="array" aca="1" ref="K10" ca="1">XLOOKUP($B10, '資料源(請謹慎編輯)'!$B:$B, '資料源(請謹慎編輯)'!K:K, 0)</f>
        <v>#NAME?</v>
      </c>
      <c r="L10" s="16" t="e">
        <f t="array" aca="1" ref="L10" ca="1">XLOOKUP($B10, '資料源(請謹慎編輯)'!$B:$B, '資料源(請謹慎編輯)'!L:L, 0)</f>
        <v>#NAME?</v>
      </c>
      <c r="M10" s="15" t="e">
        <f t="array" aca="1" ref="M10" ca="1">XLOOKUP($B10, '資料源(請謹慎編輯)'!$B:$B, '資料源(請謹慎編輯)'!M:M, 0)</f>
        <v>#NAME?</v>
      </c>
      <c r="N10" s="16" t="e">
        <f t="array" aca="1" ref="N10" ca="1">XLOOKUP($B10, '資料源(請謹慎編輯)'!$B:$B, '資料源(請謹慎編輯)'!N:N, 0)</f>
        <v>#NAME?</v>
      </c>
      <c r="O10" s="9" t="e">
        <f t="array" aca="1" ref="O10" ca="1">XLOOKUP($B10, '資料源(請謹慎編輯)'!$B:$B, '資料源(請謹慎編輯)'!O:O, 0)</f>
        <v>#NAME?</v>
      </c>
      <c r="P10" s="10" t="e">
        <f t="array" aca="1" ref="P10" ca="1">XLOOKUP($B10, '資料源(請謹慎編輯)'!$B:$B, '資料源(請謹慎編輯)'!P:P, 0)</f>
        <v>#NAME?</v>
      </c>
      <c r="Q10" s="9" t="e">
        <f t="array" aca="1" ref="Q10" ca="1">XLOOKUP($B10, '資料源(請謹慎編輯)'!$B:$B, '資料源(請謹慎編輯)'!Q:Q, 0)</f>
        <v>#NAME?</v>
      </c>
      <c r="R10" s="10" t="e">
        <f t="array" aca="1" ref="R10" ca="1">XLOOKUP($B10, '資料源(請謹慎編輯)'!$B:$B, '資料源(請謹慎編輯)'!R:R, 0)</f>
        <v>#NAME?</v>
      </c>
      <c r="S10" s="9" t="e">
        <f t="array" aca="1" ref="S10" ca="1">XLOOKUP($B10, '資料源(請謹慎編輯)'!$B:$B, '資料源(請謹慎編輯)'!S:S, 0)</f>
        <v>#NAME?</v>
      </c>
      <c r="T10" s="10" t="e">
        <f t="array" aca="1" ref="T10" ca="1">XLOOKUP($B10, '資料源(請謹慎編輯)'!$B:$B, '資料源(請謹慎編輯)'!T:T, 0)</f>
        <v>#NAME?</v>
      </c>
      <c r="U10" s="9" t="e">
        <f t="array" aca="1" ref="U10" ca="1">XLOOKUP($B10, '資料源(請謹慎編輯)'!$B:$B, '資料源(請謹慎編輯)'!U:U, 0)</f>
        <v>#NAME?</v>
      </c>
      <c r="V10" s="10" t="e">
        <f t="array" aca="1" ref="V10" ca="1">XLOOKUP($B10, '資料源(請謹慎編輯)'!$B:$B, '資料源(請謹慎編輯)'!V:V, 0)</f>
        <v>#NAME?</v>
      </c>
      <c r="W10" s="9" t="e">
        <f t="array" aca="1" ref="W10" ca="1">XLOOKUP($B10, '資料源(請謹慎編輯)'!$B:$B, '資料源(請謹慎編輯)'!W:W, 0)</f>
        <v>#NAME?</v>
      </c>
      <c r="X10" s="10" t="e">
        <f t="array" aca="1" ref="X10" ca="1">XLOOKUP($B10, '資料源(請謹慎編輯)'!$B:$B, '資料源(請謹慎編輯)'!X:X, 0)</f>
        <v>#NAME?</v>
      </c>
      <c r="Y10" s="9" t="e">
        <f t="array" aca="1" ref="Y10" ca="1">XLOOKUP($B10, '資料源(請謹慎編輯)'!$B:$B, '資料源(請謹慎編輯)'!Y:Y, 0)</f>
        <v>#NAME?</v>
      </c>
      <c r="Z10" s="11" t="e">
        <f t="array" aca="1" ref="Z10" ca="1">XLOOKUP($B10, '資料源(請謹慎編輯)'!$B:$B, '資料源(請謹慎編輯)'!Z:Z, 0)</f>
        <v>#NAME?</v>
      </c>
    </row>
    <row r="11" spans="1:26" ht="18.75" customHeight="1">
      <c r="A11" s="5" t="s">
        <v>40</v>
      </c>
      <c r="B11" s="28" t="s">
        <v>51</v>
      </c>
      <c r="C11" s="15" t="e">
        <f t="array" aca="1" ref="C11" ca="1">XLOOKUP($B11, '資料源(請謹慎編輯)'!$B:$B, '資料源(請謹慎編輯)'!C:C, 0)</f>
        <v>#NAME?</v>
      </c>
      <c r="D11" s="16" t="e">
        <f t="array" aca="1" ref="D11" ca="1">XLOOKUP($B11, '資料源(請謹慎編輯)'!$B:$B, '資料源(請謹慎編輯)'!D:D, 0)</f>
        <v>#NAME?</v>
      </c>
      <c r="E11" s="15" t="e">
        <f t="array" aca="1" ref="E11" ca="1">XLOOKUP($B11, '資料源(請謹慎編輯)'!$B:$B, '資料源(請謹慎編輯)'!E:E, 0)</f>
        <v>#NAME?</v>
      </c>
      <c r="F11" s="16" t="e">
        <f t="array" aca="1" ref="F11" ca="1">XLOOKUP($B11, '資料源(請謹慎編輯)'!$B:$B, '資料源(請謹慎編輯)'!F:F, 0)</f>
        <v>#NAME?</v>
      </c>
      <c r="G11" s="15" t="e">
        <f t="array" aca="1" ref="G11" ca="1">XLOOKUP($B11, '資料源(請謹慎編輯)'!$B:$B, '資料源(請謹慎編輯)'!G:G, 0)</f>
        <v>#NAME?</v>
      </c>
      <c r="H11" s="16" t="e">
        <f t="array" aca="1" ref="H11" ca="1">XLOOKUP($B11, '資料源(請謹慎編輯)'!$B:$B, '資料源(請謹慎編輯)'!H:H, 0)</f>
        <v>#NAME?</v>
      </c>
      <c r="I11" s="15" t="e">
        <f t="array" aca="1" ref="I11" ca="1">XLOOKUP($B11, '資料源(請謹慎編輯)'!$B:$B, '資料源(請謹慎編輯)'!I:I, 0)</f>
        <v>#NAME?</v>
      </c>
      <c r="J11" s="16" t="e">
        <f t="array" aca="1" ref="J11" ca="1">XLOOKUP($B11, '資料源(請謹慎編輯)'!$B:$B, '資料源(請謹慎編輯)'!J:J, 0)</f>
        <v>#NAME?</v>
      </c>
      <c r="K11" s="15" t="e">
        <f t="array" aca="1" ref="K11" ca="1">XLOOKUP($B11, '資料源(請謹慎編輯)'!$B:$B, '資料源(請謹慎編輯)'!K:K, 0)</f>
        <v>#NAME?</v>
      </c>
      <c r="L11" s="16" t="e">
        <f t="array" aca="1" ref="L11" ca="1">XLOOKUP($B11, '資料源(請謹慎編輯)'!$B:$B, '資料源(請謹慎編輯)'!L:L, 0)</f>
        <v>#NAME?</v>
      </c>
      <c r="M11" s="15" t="e">
        <f t="array" aca="1" ref="M11" ca="1">XLOOKUP($B11, '資料源(請謹慎編輯)'!$B:$B, '資料源(請謹慎編輯)'!M:M, 0)</f>
        <v>#NAME?</v>
      </c>
      <c r="N11" s="16" t="e">
        <f t="array" aca="1" ref="N11" ca="1">XLOOKUP($B11, '資料源(請謹慎編輯)'!$B:$B, '資料源(請謹慎編輯)'!N:N, 0)</f>
        <v>#NAME?</v>
      </c>
      <c r="O11" s="9" t="e">
        <f t="array" aca="1" ref="O11" ca="1">XLOOKUP($B11, '資料源(請謹慎編輯)'!$B:$B, '資料源(請謹慎編輯)'!O:O, 0)</f>
        <v>#NAME?</v>
      </c>
      <c r="P11" s="10" t="e">
        <f t="array" aca="1" ref="P11" ca="1">XLOOKUP($B11, '資料源(請謹慎編輯)'!$B:$B, '資料源(請謹慎編輯)'!P:P, 0)</f>
        <v>#NAME?</v>
      </c>
      <c r="Q11" s="9" t="e">
        <f t="array" aca="1" ref="Q11" ca="1">XLOOKUP($B11, '資料源(請謹慎編輯)'!$B:$B, '資料源(請謹慎編輯)'!Q:Q, 0)</f>
        <v>#NAME?</v>
      </c>
      <c r="R11" s="10" t="e">
        <f t="array" aca="1" ref="R11" ca="1">XLOOKUP($B11, '資料源(請謹慎編輯)'!$B:$B, '資料源(請謹慎編輯)'!R:R, 0)</f>
        <v>#NAME?</v>
      </c>
      <c r="S11" s="9" t="e">
        <f t="array" aca="1" ref="S11" ca="1">XLOOKUP($B11, '資料源(請謹慎編輯)'!$B:$B, '資料源(請謹慎編輯)'!S:S, 0)</f>
        <v>#NAME?</v>
      </c>
      <c r="T11" s="10" t="e">
        <f t="array" aca="1" ref="T11" ca="1">XLOOKUP($B11, '資料源(請謹慎編輯)'!$B:$B, '資料源(請謹慎編輯)'!T:T, 0)</f>
        <v>#NAME?</v>
      </c>
      <c r="U11" s="9" t="e">
        <f t="array" aca="1" ref="U11" ca="1">XLOOKUP($B11, '資料源(請謹慎編輯)'!$B:$B, '資料源(請謹慎編輯)'!U:U, 0)</f>
        <v>#NAME?</v>
      </c>
      <c r="V11" s="10" t="e">
        <f t="array" aca="1" ref="V11" ca="1">XLOOKUP($B11, '資料源(請謹慎編輯)'!$B:$B, '資料源(請謹慎編輯)'!V:V, 0)</f>
        <v>#NAME?</v>
      </c>
      <c r="W11" s="9" t="e">
        <f t="array" aca="1" ref="W11" ca="1">XLOOKUP($B11, '資料源(請謹慎編輯)'!$B:$B, '資料源(請謹慎編輯)'!W:W, 0)</f>
        <v>#NAME?</v>
      </c>
      <c r="X11" s="10" t="e">
        <f t="array" aca="1" ref="X11" ca="1">XLOOKUP($B11, '資料源(請謹慎編輯)'!$B:$B, '資料源(請謹慎編輯)'!X:X, 0)</f>
        <v>#NAME?</v>
      </c>
      <c r="Y11" s="9" t="e">
        <f t="array" aca="1" ref="Y11" ca="1">XLOOKUP($B11, '資料源(請謹慎編輯)'!$B:$B, '資料源(請謹慎編輯)'!Y:Y, 0)</f>
        <v>#NAME?</v>
      </c>
      <c r="Z11" s="11" t="e">
        <f t="array" aca="1" ref="Z11" ca="1">XLOOKUP($B11, '資料源(請謹慎編輯)'!$B:$B, '資料源(請謹慎編輯)'!Z:Z, 0)</f>
        <v>#NAME?</v>
      </c>
    </row>
    <row r="12" spans="1:26" ht="18.75" customHeight="1">
      <c r="A12" s="17" t="s">
        <v>42</v>
      </c>
      <c r="B12" s="29" t="s">
        <v>43</v>
      </c>
      <c r="C12" s="15" t="e">
        <f t="array" aca="1" ref="C12" ca="1">XLOOKUP($B12, '資料源(請謹慎編輯)'!$B$170:$B$180, '資料源(請謹慎編輯)'!C$170:C$180, 0)</f>
        <v>#NAME?</v>
      </c>
      <c r="D12" s="16" t="e">
        <f t="array" aca="1" ref="D12" ca="1">XLOOKUP($B12, '資料源(請謹慎編輯)'!$B$170:$B$180, '資料源(請謹慎編輯)'!D$170:D$180, 0)</f>
        <v>#NAME?</v>
      </c>
      <c r="E12" s="15" t="e">
        <f t="array" aca="1" ref="E12" ca="1">XLOOKUP($B12, '資料源(請謹慎編輯)'!$B$170:$B$180, '資料源(請謹慎編輯)'!E$170:E$180, 0)</f>
        <v>#NAME?</v>
      </c>
      <c r="F12" s="16" t="e">
        <f t="array" aca="1" ref="F12" ca="1">XLOOKUP($B12, '資料源(請謹慎編輯)'!$B$170:$B$180, '資料源(請謹慎編輯)'!F$170:F$180, 0)</f>
        <v>#NAME?</v>
      </c>
      <c r="G12" s="15" t="e">
        <f t="array" aca="1" ref="G12" ca="1">XLOOKUP($B12, '資料源(請謹慎編輯)'!$B$170:$B$180, '資料源(請謹慎編輯)'!G$170:G$180, 0)</f>
        <v>#NAME?</v>
      </c>
      <c r="H12" s="16" t="e">
        <f t="array" aca="1" ref="H12" ca="1">XLOOKUP($B12, '資料源(請謹慎編輯)'!$B$170:$B$180, '資料源(請謹慎編輯)'!H$170:H$180, 0)</f>
        <v>#NAME?</v>
      </c>
      <c r="I12" s="15" t="e">
        <f t="array" aca="1" ref="I12" ca="1">XLOOKUP($B12, '資料源(請謹慎編輯)'!$B$170:$B$180, '資料源(請謹慎編輯)'!I$170:I$180, 0)</f>
        <v>#NAME?</v>
      </c>
      <c r="J12" s="16" t="e">
        <f t="array" aca="1" ref="J12" ca="1">XLOOKUP($B12, '資料源(請謹慎編輯)'!$B$170:$B$180, '資料源(請謹慎編輯)'!J$170:J$180, 0)</f>
        <v>#NAME?</v>
      </c>
      <c r="K12" s="15" t="e">
        <f t="array" aca="1" ref="K12" ca="1">XLOOKUP($B12, '資料源(請謹慎編輯)'!$B$170:$B$180, '資料源(請謹慎編輯)'!K$170:K$180, 0)</f>
        <v>#NAME?</v>
      </c>
      <c r="L12" s="16" t="e">
        <f t="array" aca="1" ref="L12" ca="1">XLOOKUP($B12, '資料源(請謹慎編輯)'!$B$170:$B$180, '資料源(請謹慎編輯)'!L$170:L$180, 0)</f>
        <v>#NAME?</v>
      </c>
      <c r="M12" s="15" t="e">
        <f t="array" aca="1" ref="M12" ca="1">XLOOKUP($B12, '資料源(請謹慎編輯)'!$B$170:$B$180, '資料源(請謹慎編輯)'!M$170:M$180, 0)</f>
        <v>#NAME?</v>
      </c>
      <c r="N12" s="16" t="e">
        <f t="array" aca="1" ref="N12" ca="1">XLOOKUP($B12, '資料源(請謹慎編輯)'!$B$170:$B$180, '資料源(請謹慎編輯)'!N$170:N$180, 0)</f>
        <v>#NAME?</v>
      </c>
      <c r="O12" s="15" t="e">
        <f t="array" aca="1" ref="O12" ca="1">XLOOKUP($B12, '資料源(請謹慎編輯)'!$B$170:$B$180, '資料源(請謹慎編輯)'!O$170:O$180, 0)</f>
        <v>#NAME?</v>
      </c>
      <c r="P12" s="16" t="e">
        <f t="array" aca="1" ref="P12" ca="1">XLOOKUP($B12, '資料源(請謹慎編輯)'!$B$170:$B$180, '資料源(請謹慎編輯)'!P$170:P$180, 0)</f>
        <v>#NAME?</v>
      </c>
      <c r="Q12" s="15" t="e">
        <f t="array" aca="1" ref="Q12" ca="1">XLOOKUP($B12, '資料源(請謹慎編輯)'!$B$170:$B$180, '資料源(請謹慎編輯)'!Q$170:Q$180, 0)</f>
        <v>#NAME?</v>
      </c>
      <c r="R12" s="16" t="e">
        <f t="array" aca="1" ref="R12" ca="1">XLOOKUP($B12, '資料源(請謹慎編輯)'!$B$170:$B$180, '資料源(請謹慎編輯)'!R$170:R$180, 0)</f>
        <v>#NAME?</v>
      </c>
      <c r="S12" s="15" t="e">
        <f t="array" aca="1" ref="S12" ca="1">XLOOKUP($B12, '資料源(請謹慎編輯)'!$B$170:$B$180, '資料源(請謹慎編輯)'!S$170:S$180, 0)</f>
        <v>#NAME?</v>
      </c>
      <c r="T12" s="16" t="e">
        <f t="array" aca="1" ref="T12" ca="1">XLOOKUP($B12, '資料源(請謹慎編輯)'!$B$170:$B$180, '資料源(請謹慎編輯)'!T$170:T$180, 0)</f>
        <v>#NAME?</v>
      </c>
      <c r="U12" s="15" t="e">
        <f t="array" aca="1" ref="U12" ca="1">XLOOKUP($B12, '資料源(請謹慎編輯)'!$B$170:$B$180, '資料源(請謹慎編輯)'!U$170:U$180, 0)</f>
        <v>#NAME?</v>
      </c>
      <c r="V12" s="16" t="e">
        <f t="array" aca="1" ref="V12" ca="1">XLOOKUP($B12, '資料源(請謹慎編輯)'!$B$170:$B$180, '資料源(請謹慎編輯)'!V$170:V$180, 0)</f>
        <v>#NAME?</v>
      </c>
      <c r="W12" s="15" t="e">
        <f t="array" aca="1" ref="W12" ca="1">XLOOKUP($B12, '資料源(請謹慎編輯)'!$B$170:$B$180, '資料源(請謹慎編輯)'!W$170:W$180, 0)</f>
        <v>#NAME?</v>
      </c>
      <c r="X12" s="16" t="e">
        <f t="array" aca="1" ref="X12" ca="1">XLOOKUP($B12, '資料源(請謹慎編輯)'!$B$170:$B$180, '資料源(請謹慎編輯)'!X$170:X$180, 0)</f>
        <v>#NAME?</v>
      </c>
      <c r="Y12" s="15" t="e">
        <f t="array" aca="1" ref="Y12" ca="1">XLOOKUP($B12, '資料源(請謹慎編輯)'!$B$170:$B$180, '資料源(請謹慎編輯)'!Y$170:Y$180, 0)</f>
        <v>#NAME?</v>
      </c>
      <c r="Z12" s="19" t="e">
        <f t="array" aca="1" ref="Z12" ca="1">XLOOKUP($B12, '資料源(請謹慎編輯)'!$B$170:$B$180, '資料源(請謹慎編輯)'!Z$170:Z$180, 0)</f>
        <v>#NAME?</v>
      </c>
    </row>
    <row r="13" spans="1:26" ht="18.75" customHeight="1">
      <c r="A13" s="35" t="s">
        <v>44</v>
      </c>
      <c r="B13" s="36"/>
      <c r="C13" s="13" t="e">
        <f t="array" aca="1" ref="C13" ca="1">XLOOKUP($B12, '資料源(請謹慎編輯)'!$B$170:$B$180, '資料源(請謹慎編輯)'!C$184:C$193, 0)</f>
        <v>#NAME?</v>
      </c>
      <c r="D13" s="14" t="e">
        <f t="array" aca="1" ref="D13" ca="1">XLOOKUP($B12, '資料源(請謹慎編輯)'!$B$170:$B$180, '資料源(請謹慎編輯)'!D$184:D$193, 0)</f>
        <v>#NAME?</v>
      </c>
      <c r="E13" s="13" t="e">
        <f t="array" aca="1" ref="E13" ca="1">XLOOKUP($B12, '資料源(請謹慎編輯)'!$B$170:$B$180, '資料源(請謹慎編輯)'!E$184:E$193, 0)</f>
        <v>#NAME?</v>
      </c>
      <c r="F13" s="14" t="e">
        <f t="array" aca="1" ref="F13" ca="1">XLOOKUP($B12, '資料源(請謹慎編輯)'!$B$170:$B$180, '資料源(請謹慎編輯)'!F$184:F$193, 0)</f>
        <v>#NAME?</v>
      </c>
      <c r="G13" s="13" t="e">
        <f t="array" aca="1" ref="G13" ca="1">XLOOKUP($B12, '資料源(請謹慎編輯)'!$B$170:$B$180, '資料源(請謹慎編輯)'!G$184:G$193, 0)</f>
        <v>#NAME?</v>
      </c>
      <c r="H13" s="14" t="e">
        <f t="array" aca="1" ref="H13" ca="1">XLOOKUP($B12, '資料源(請謹慎編輯)'!$B$170:$B$180, '資料源(請謹慎編輯)'!H$184:H$193, 0)</f>
        <v>#NAME?</v>
      </c>
      <c r="I13" s="13" t="e">
        <f t="array" aca="1" ref="I13" ca="1">XLOOKUP($B12, '資料源(請謹慎編輯)'!$B$170:$B$180, '資料源(請謹慎編輯)'!I$184:I$193, 0)</f>
        <v>#NAME?</v>
      </c>
      <c r="J13" s="14" t="e">
        <f t="array" aca="1" ref="J13" ca="1">XLOOKUP($B12, '資料源(請謹慎編輯)'!$B$170:$B$180, '資料源(請謹慎編輯)'!J$184:J$193, 0)</f>
        <v>#NAME?</v>
      </c>
      <c r="K13" s="13" t="e">
        <f t="array" aca="1" ref="K13" ca="1">XLOOKUP($B12, '資料源(請謹慎編輯)'!$B$170:$B$180, '資料源(請謹慎編輯)'!K$184:K$193, 0)</f>
        <v>#NAME?</v>
      </c>
      <c r="L13" s="14" t="e">
        <f t="array" aca="1" ref="L13" ca="1">XLOOKUP($B12, '資料源(請謹慎編輯)'!$B$170:$B$180, '資料源(請謹慎編輯)'!L$184:L$193, 0)</f>
        <v>#NAME?</v>
      </c>
      <c r="M13" s="13" t="e">
        <f t="array" aca="1" ref="M13" ca="1">XLOOKUP($B12, '資料源(請謹慎編輯)'!$B$170:$B$180, '資料源(請謹慎編輯)'!M$184:M$193, 0)</f>
        <v>#NAME?</v>
      </c>
      <c r="N13" s="14" t="e">
        <f t="array" aca="1" ref="N13" ca="1">XLOOKUP($B12, '資料源(請謹慎編輯)'!$B$170:$B$180, '資料源(請謹慎編輯)'!N$184:N$193, 0)</f>
        <v>#NAME?</v>
      </c>
      <c r="O13" s="13" t="e">
        <f t="array" aca="1" ref="O13" ca="1">XLOOKUP($B12, '資料源(請謹慎編輯)'!$B$170:$B$180, '資料源(請謹慎編輯)'!O$184:O$193, 0)</f>
        <v>#NAME?</v>
      </c>
      <c r="P13" s="16" t="e">
        <f t="array" aca="1" ref="P13" ca="1">XLOOKUP($B12, '資料源(請謹慎編輯)'!$B$170:$B$180, '資料源(請謹慎編輯)'!P$184:P$193, 0)</f>
        <v>#NAME?</v>
      </c>
      <c r="Q13" s="15" t="e">
        <f t="array" aca="1" ref="Q13" ca="1">XLOOKUP($B12, '資料源(請謹慎編輯)'!$B$170:$B$180, '資料源(請謹慎編輯)'!Q$184:Q$193, 0)</f>
        <v>#NAME?</v>
      </c>
      <c r="R13" s="16" t="e">
        <f t="array" aca="1" ref="R13" ca="1">XLOOKUP($B12, '資料源(請謹慎編輯)'!$B$170:$B$180, '資料源(請謹慎編輯)'!R$184:R$193, 0)</f>
        <v>#NAME?</v>
      </c>
      <c r="S13" s="15" t="e">
        <f t="array" aca="1" ref="S13" ca="1">XLOOKUP($B12, '資料源(請謹慎編輯)'!$B$170:$B$180, '資料源(請謹慎編輯)'!S$184:S$193, 0)</f>
        <v>#NAME?</v>
      </c>
      <c r="T13" s="16" t="e">
        <f t="array" aca="1" ref="T13" ca="1">XLOOKUP($B12, '資料源(請謹慎編輯)'!$B$170:$B$180, '資料源(請謹慎編輯)'!T$184:T$193, 0)</f>
        <v>#NAME?</v>
      </c>
      <c r="U13" s="15" t="e">
        <f t="array" aca="1" ref="U13" ca="1">XLOOKUP($B12, '資料源(請謹慎編輯)'!$B$170:$B$180, '資料源(請謹慎編輯)'!U$184:U$193, 0)</f>
        <v>#NAME?</v>
      </c>
      <c r="V13" s="16" t="e">
        <f t="array" aca="1" ref="V13" ca="1">XLOOKUP($B12, '資料源(請謹慎編輯)'!$B$170:$B$180, '資料源(請謹慎編輯)'!V$184:V$193, 0)</f>
        <v>#NAME?</v>
      </c>
      <c r="W13" s="15" t="e">
        <f t="array" aca="1" ref="W13" ca="1">XLOOKUP($B12, '資料源(請謹慎編輯)'!$B$170:$B$180, '資料源(請謹慎編輯)'!W$184:W$193, 0)</f>
        <v>#NAME?</v>
      </c>
      <c r="X13" s="16" t="e">
        <f t="array" aca="1" ref="X13" ca="1">XLOOKUP($B12, '資料源(請謹慎編輯)'!$B$170:$B$180, '資料源(請謹慎編輯)'!X$184:X$193, 0)</f>
        <v>#NAME?</v>
      </c>
      <c r="Y13" s="15" t="e">
        <f t="array" aca="1" ref="Y13" ca="1">XLOOKUP($B12, '資料源(請謹慎編輯)'!$B$170:$B$180, '資料源(請謹慎編輯)'!Y$184:Y$193, 0)</f>
        <v>#NAME?</v>
      </c>
      <c r="Z13" s="19" t="e">
        <f t="array" aca="1" ref="Z13" ca="1">XLOOKUP($B12, '資料源(請謹慎編輯)'!$B$170:$B$180, '資料源(請謹慎編輯)'!Z$184:Z$193, 0)</f>
        <v>#NAME?</v>
      </c>
    </row>
    <row r="14" spans="1:26" ht="18.75" customHeight="1">
      <c r="A14" s="35" t="s">
        <v>45</v>
      </c>
      <c r="B14" s="37"/>
      <c r="C14" s="15">
        <v>1</v>
      </c>
      <c r="D14" s="16">
        <v>1</v>
      </c>
      <c r="E14" s="15">
        <v>1</v>
      </c>
      <c r="F14" s="16">
        <v>1</v>
      </c>
      <c r="G14" s="15">
        <v>1</v>
      </c>
      <c r="H14" s="16">
        <v>1</v>
      </c>
      <c r="I14" s="15">
        <v>1</v>
      </c>
      <c r="J14" s="16">
        <v>2</v>
      </c>
      <c r="K14" s="15">
        <v>1</v>
      </c>
      <c r="L14" s="16">
        <v>1</v>
      </c>
      <c r="M14" s="15">
        <v>1</v>
      </c>
      <c r="N14" s="16">
        <v>2</v>
      </c>
      <c r="O14" s="20">
        <v>1</v>
      </c>
      <c r="P14" s="5">
        <v>1</v>
      </c>
      <c r="Q14" s="21">
        <v>1</v>
      </c>
      <c r="R14" s="5">
        <v>1</v>
      </c>
      <c r="S14" s="21">
        <v>1</v>
      </c>
      <c r="T14" s="5">
        <v>1</v>
      </c>
      <c r="U14" s="21"/>
      <c r="V14" s="5"/>
      <c r="W14" s="22">
        <v>1</v>
      </c>
      <c r="X14" s="10">
        <v>1</v>
      </c>
      <c r="Y14" s="9">
        <v>1</v>
      </c>
      <c r="Z14" s="23">
        <v>1</v>
      </c>
    </row>
    <row r="15" spans="1:26" ht="18.75" customHeight="1">
      <c r="A15" s="38" t="s">
        <v>46</v>
      </c>
      <c r="B15" s="39"/>
      <c r="C15" s="24" t="e">
        <f t="shared" ref="C15:Z15" ca="1" si="0">SUM(C2:C14)</f>
        <v>#NAME?</v>
      </c>
      <c r="D15" s="24" t="e">
        <f t="shared" ca="1" si="0"/>
        <v>#NAME?</v>
      </c>
      <c r="E15" s="24" t="e">
        <f t="shared" ca="1" si="0"/>
        <v>#NAME?</v>
      </c>
      <c r="F15" s="24" t="e">
        <f t="shared" ca="1" si="0"/>
        <v>#NAME?</v>
      </c>
      <c r="G15" s="24" t="e">
        <f t="shared" ca="1" si="0"/>
        <v>#NAME?</v>
      </c>
      <c r="H15" s="24" t="e">
        <f t="shared" ca="1" si="0"/>
        <v>#NAME?</v>
      </c>
      <c r="I15" s="24" t="e">
        <f t="shared" ca="1" si="0"/>
        <v>#NAME?</v>
      </c>
      <c r="J15" s="24" t="e">
        <f t="shared" ca="1" si="0"/>
        <v>#NAME?</v>
      </c>
      <c r="K15" s="24" t="e">
        <f t="shared" ca="1" si="0"/>
        <v>#NAME?</v>
      </c>
      <c r="L15" s="24" t="e">
        <f t="shared" ca="1" si="0"/>
        <v>#NAME?</v>
      </c>
      <c r="M15" s="24" t="e">
        <f t="shared" ca="1" si="0"/>
        <v>#NAME?</v>
      </c>
      <c r="N15" s="24" t="e">
        <f t="shared" ca="1" si="0"/>
        <v>#NAME?</v>
      </c>
      <c r="O15" s="24" t="e">
        <f t="shared" ca="1" si="0"/>
        <v>#NAME?</v>
      </c>
      <c r="P15" s="24" t="e">
        <f t="shared" ca="1" si="0"/>
        <v>#NAME?</v>
      </c>
      <c r="Q15" s="24" t="e">
        <f t="shared" ca="1" si="0"/>
        <v>#NAME?</v>
      </c>
      <c r="R15" s="24" t="e">
        <f t="shared" ca="1" si="0"/>
        <v>#NAME?</v>
      </c>
      <c r="S15" s="24" t="e">
        <f t="shared" ca="1" si="0"/>
        <v>#NAME?</v>
      </c>
      <c r="T15" s="24" t="e">
        <f t="shared" ca="1" si="0"/>
        <v>#NAME?</v>
      </c>
      <c r="U15" s="24" t="e">
        <f t="shared" ca="1" si="0"/>
        <v>#NAME?</v>
      </c>
      <c r="V15" s="24" t="e">
        <f t="shared" ca="1" si="0"/>
        <v>#NAME?</v>
      </c>
      <c r="W15" s="24" t="e">
        <f t="shared" ca="1" si="0"/>
        <v>#NAME?</v>
      </c>
      <c r="X15" s="24" t="e">
        <f t="shared" ca="1" si="0"/>
        <v>#NAME?</v>
      </c>
      <c r="Y15" s="24" t="e">
        <f t="shared" ca="1" si="0"/>
        <v>#NAME?</v>
      </c>
      <c r="Z15" s="24" t="e">
        <f t="shared" ca="1" si="0"/>
        <v>#NAME?</v>
      </c>
    </row>
    <row r="16" spans="1:26" ht="18.75" customHeight="1">
      <c r="A16" s="5"/>
      <c r="B16" s="2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8.75" customHeight="1">
      <c r="A17" s="5"/>
      <c r="B17" s="2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8.75" customHeight="1">
      <c r="A18" s="5"/>
      <c r="B18" s="2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8.75" customHeight="1">
      <c r="A19" s="5"/>
      <c r="B19" s="2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8.75" customHeight="1">
      <c r="A20" s="5"/>
      <c r="B20" s="2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8.75" customHeight="1">
      <c r="A21" s="5"/>
      <c r="B21" s="25"/>
      <c r="C21" s="5"/>
      <c r="D21" s="5"/>
      <c r="E21" s="5"/>
      <c r="F21" s="5"/>
      <c r="G21" s="5"/>
      <c r="H21" s="5"/>
      <c r="I21" s="5"/>
      <c r="J21" s="5"/>
      <c r="K21" s="40" t="s">
        <v>47</v>
      </c>
      <c r="L21" s="41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8.75" customHeight="1">
      <c r="A22" s="5"/>
      <c r="B22" s="2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8.75" customHeight="1">
      <c r="A23" s="5"/>
      <c r="B23" s="2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8.75" customHeight="1">
      <c r="A24" s="5"/>
      <c r="B24" s="2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8.75" customHeight="1">
      <c r="A25" s="5"/>
      <c r="B25" s="2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8.75" customHeight="1">
      <c r="A26" s="5"/>
      <c r="B26" s="2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8.75" customHeight="1">
      <c r="A27" s="5"/>
      <c r="B27" s="2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8.75" customHeight="1">
      <c r="A28" s="5"/>
      <c r="B28" s="2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26"/>
      <c r="Y28" s="5"/>
      <c r="Z28" s="5"/>
    </row>
    <row r="29" spans="1:26" ht="18.75" customHeight="1">
      <c r="A29" s="5"/>
      <c r="B29" s="2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8.75" customHeight="1">
      <c r="A30" s="5"/>
      <c r="B30" s="2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8.75" customHeight="1">
      <c r="A31" s="5"/>
      <c r="B31" s="2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8.75" customHeight="1">
      <c r="A32" s="5"/>
      <c r="B32" s="2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8.75" customHeight="1">
      <c r="A33" s="5"/>
      <c r="B33" s="2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8.75" customHeight="1">
      <c r="A34" s="5"/>
      <c r="B34" s="2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8.75" customHeight="1">
      <c r="A35" s="5"/>
      <c r="B35" s="2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8.75" customHeight="1">
      <c r="A36" s="5"/>
      <c r="B36" s="2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8.75" customHeight="1">
      <c r="A37" s="5"/>
      <c r="B37" s="2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8.75" customHeight="1">
      <c r="A38" s="5"/>
      <c r="B38" s="2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8.75" customHeight="1">
      <c r="A39" s="5"/>
      <c r="B39" s="2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8.75" customHeight="1">
      <c r="A40" s="5"/>
      <c r="B40" s="2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8.75" customHeight="1">
      <c r="A41" s="5"/>
      <c r="B41" s="2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8.75" customHeight="1">
      <c r="A42" s="5"/>
      <c r="B42" s="2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8.75" customHeight="1">
      <c r="A43" s="5"/>
      <c r="B43" s="2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8.75" customHeight="1">
      <c r="A44" s="5"/>
      <c r="B44" s="2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8.75" customHeight="1">
      <c r="A45" s="5"/>
      <c r="B45" s="2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8.75" customHeight="1">
      <c r="A46" s="5"/>
      <c r="B46" s="2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8.75" customHeight="1">
      <c r="A47" s="5"/>
      <c r="B47" s="2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8.75" customHeight="1">
      <c r="A48" s="5"/>
      <c r="B48" s="2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8.75" customHeight="1">
      <c r="A49" s="5"/>
      <c r="B49" s="2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8.75" customHeight="1">
      <c r="A50" s="5"/>
      <c r="B50" s="2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8.75" customHeight="1">
      <c r="A51" s="5"/>
      <c r="B51" s="2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8.75" customHeight="1">
      <c r="A52" s="5"/>
      <c r="B52" s="2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8.75" customHeight="1">
      <c r="A53" s="5"/>
      <c r="B53" s="2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8.75" customHeight="1">
      <c r="A54" s="5"/>
      <c r="B54" s="2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8.75" customHeight="1">
      <c r="A55" s="5"/>
      <c r="B55" s="2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8.75" customHeight="1">
      <c r="A56" s="5"/>
      <c r="B56" s="2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8.75" customHeight="1">
      <c r="A57" s="5"/>
      <c r="B57" s="2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8.75" customHeight="1">
      <c r="A58" s="5"/>
      <c r="B58" s="2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8.75" customHeight="1">
      <c r="A59" s="5"/>
      <c r="B59" s="2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8.75" customHeight="1">
      <c r="A60" s="5"/>
      <c r="B60" s="2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8.75" customHeight="1">
      <c r="A61" s="5"/>
      <c r="B61" s="2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8.75" customHeight="1">
      <c r="A62" s="5"/>
      <c r="B62" s="2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8.75" customHeight="1">
      <c r="A63" s="5"/>
      <c r="B63" s="2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8.75" customHeight="1">
      <c r="A64" s="5"/>
      <c r="B64" s="2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8.75" customHeight="1">
      <c r="A65" s="5"/>
      <c r="B65" s="2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8.75" customHeight="1">
      <c r="A66" s="5"/>
      <c r="B66" s="2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8.75" customHeight="1">
      <c r="A67" s="5"/>
      <c r="B67" s="2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8.75" customHeight="1">
      <c r="A68" s="5"/>
      <c r="B68" s="2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8.75" customHeight="1">
      <c r="A69" s="5"/>
      <c r="B69" s="2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8.75" customHeight="1">
      <c r="A70" s="5"/>
      <c r="B70" s="2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8.75" customHeight="1">
      <c r="A71" s="5"/>
      <c r="B71" s="2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8.75" customHeight="1">
      <c r="A72" s="5"/>
      <c r="B72" s="2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8.75" customHeight="1">
      <c r="A73" s="5"/>
      <c r="B73" s="2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8.75" customHeight="1">
      <c r="A74" s="5"/>
      <c r="B74" s="2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8.75" customHeight="1">
      <c r="A75" s="5"/>
      <c r="B75" s="2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8.75" customHeight="1">
      <c r="A76" s="5"/>
      <c r="B76" s="2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8.75" customHeight="1">
      <c r="A77" s="5"/>
      <c r="B77" s="2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8.75" customHeight="1">
      <c r="A78" s="5"/>
      <c r="B78" s="2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8.75" customHeight="1">
      <c r="A79" s="5"/>
      <c r="B79" s="2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8.75" customHeight="1">
      <c r="A80" s="5"/>
      <c r="B80" s="2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8.75" customHeight="1">
      <c r="A81" s="5"/>
      <c r="B81" s="2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8.75" customHeight="1">
      <c r="A82" s="5"/>
      <c r="B82" s="2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8.75" customHeight="1">
      <c r="A83" s="5"/>
      <c r="B83" s="2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8.75" customHeight="1">
      <c r="A84" s="5"/>
      <c r="B84" s="2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8.75" customHeight="1">
      <c r="A85" s="5"/>
      <c r="B85" s="2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8.75" customHeight="1">
      <c r="A86" s="5"/>
      <c r="B86" s="2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8.75" customHeight="1">
      <c r="A87" s="5"/>
      <c r="B87" s="2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8.75" customHeight="1">
      <c r="A88" s="5"/>
      <c r="B88" s="2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8.75" customHeight="1">
      <c r="A89" s="5"/>
      <c r="B89" s="2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8.75" customHeight="1">
      <c r="A90" s="5"/>
      <c r="B90" s="2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8.75" customHeight="1">
      <c r="A91" s="5"/>
      <c r="B91" s="2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8.75" customHeight="1">
      <c r="A92" s="5"/>
      <c r="B92" s="2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8.75" customHeight="1">
      <c r="A93" s="5"/>
      <c r="B93" s="2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8.75" customHeight="1">
      <c r="A94" s="5"/>
      <c r="B94" s="2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8.75" customHeight="1">
      <c r="A95" s="5"/>
      <c r="B95" s="2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8.75" customHeight="1">
      <c r="A96" s="5"/>
      <c r="B96" s="2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8.75" customHeight="1">
      <c r="A97" s="5"/>
      <c r="B97" s="2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8.75" customHeight="1">
      <c r="A98" s="5"/>
      <c r="B98" s="2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8.75" customHeight="1">
      <c r="A99" s="5"/>
      <c r="B99" s="2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8.75" customHeight="1">
      <c r="A100" s="5"/>
      <c r="B100" s="2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8.75" customHeight="1">
      <c r="A101" s="5"/>
      <c r="B101" s="2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8.75" customHeight="1">
      <c r="A102" s="5"/>
      <c r="B102" s="2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8.75" customHeight="1">
      <c r="A103" s="5"/>
      <c r="B103" s="2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8.75" customHeight="1">
      <c r="A104" s="5"/>
      <c r="B104" s="2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8.75" customHeight="1">
      <c r="A105" s="5"/>
      <c r="B105" s="2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8.75" customHeight="1">
      <c r="A106" s="5"/>
      <c r="B106" s="2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8.75" customHeight="1">
      <c r="A107" s="5"/>
      <c r="B107" s="2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8.75" customHeight="1">
      <c r="A108" s="5"/>
      <c r="B108" s="2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8.75" customHeight="1">
      <c r="A109" s="5"/>
      <c r="B109" s="2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8.75" customHeight="1">
      <c r="A110" s="5"/>
      <c r="B110" s="2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8.75" customHeight="1">
      <c r="A111" s="5"/>
      <c r="B111" s="2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8.75" customHeight="1">
      <c r="A112" s="5"/>
      <c r="B112" s="2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8.75" customHeight="1">
      <c r="A113" s="5"/>
      <c r="B113" s="2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8.75" customHeight="1">
      <c r="A114" s="5"/>
      <c r="B114" s="2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8.75" customHeight="1">
      <c r="A115" s="5"/>
      <c r="B115" s="2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8.75" customHeight="1">
      <c r="A116" s="5"/>
      <c r="B116" s="2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8.75" customHeight="1">
      <c r="A117" s="5"/>
      <c r="B117" s="2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8.75" customHeight="1">
      <c r="A118" s="5"/>
      <c r="B118" s="2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8.75" customHeight="1">
      <c r="A119" s="5"/>
      <c r="B119" s="2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8.75" customHeight="1">
      <c r="A120" s="5"/>
      <c r="B120" s="2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8.75" customHeight="1">
      <c r="A121" s="5"/>
      <c r="B121" s="2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8.75" customHeight="1">
      <c r="A122" s="5"/>
      <c r="B122" s="2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8.75" customHeight="1">
      <c r="A123" s="5"/>
      <c r="B123" s="2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8.75" customHeight="1">
      <c r="A124" s="5"/>
      <c r="B124" s="2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8.75" customHeight="1">
      <c r="A125" s="5"/>
      <c r="B125" s="2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8.75" customHeight="1">
      <c r="A126" s="5"/>
      <c r="B126" s="2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8.75" customHeight="1">
      <c r="A127" s="5"/>
      <c r="B127" s="2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8.75" customHeight="1">
      <c r="A128" s="5"/>
      <c r="B128" s="2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8.75" customHeight="1">
      <c r="A129" s="5"/>
      <c r="B129" s="2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8.75" customHeight="1">
      <c r="A130" s="5"/>
      <c r="B130" s="2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8.75" customHeight="1">
      <c r="A131" s="5"/>
      <c r="B131" s="2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8.75" customHeight="1">
      <c r="A132" s="5"/>
      <c r="B132" s="2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8.75" customHeight="1">
      <c r="A133" s="5"/>
      <c r="B133" s="2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8.75" customHeight="1">
      <c r="A134" s="5"/>
      <c r="B134" s="2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8.75" customHeight="1">
      <c r="A135" s="5"/>
      <c r="B135" s="2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8.75" customHeight="1">
      <c r="A136" s="5"/>
      <c r="B136" s="2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8.75" customHeight="1">
      <c r="A137" s="5"/>
      <c r="B137" s="2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8.75" customHeight="1">
      <c r="A138" s="5"/>
      <c r="B138" s="2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8.75" customHeight="1">
      <c r="A139" s="5"/>
      <c r="B139" s="2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8.75" customHeight="1">
      <c r="A140" s="5"/>
      <c r="B140" s="2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8.75" customHeight="1">
      <c r="A141" s="5"/>
      <c r="B141" s="2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8.75" customHeight="1">
      <c r="A142" s="5"/>
      <c r="B142" s="2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8.75" customHeight="1">
      <c r="A143" s="5"/>
      <c r="B143" s="2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8.75" customHeight="1">
      <c r="A144" s="5"/>
      <c r="B144" s="2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8.75" customHeight="1">
      <c r="A145" s="5"/>
      <c r="B145" s="2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8.75" customHeight="1">
      <c r="A146" s="5"/>
      <c r="B146" s="2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8.75" customHeight="1">
      <c r="A147" s="5"/>
      <c r="B147" s="2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8.75" customHeight="1">
      <c r="A148" s="5"/>
      <c r="B148" s="2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8.75" customHeight="1">
      <c r="A149" s="5"/>
      <c r="B149" s="2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8.75" customHeight="1">
      <c r="A150" s="5"/>
      <c r="B150" s="2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8.75" customHeight="1">
      <c r="A151" s="5"/>
      <c r="B151" s="2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8.75" customHeight="1">
      <c r="A152" s="5"/>
      <c r="B152" s="2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8.75" customHeight="1">
      <c r="A153" s="5"/>
      <c r="B153" s="2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8.75" customHeight="1">
      <c r="A154" s="5"/>
      <c r="B154" s="2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8.75" customHeight="1">
      <c r="A155" s="5"/>
      <c r="B155" s="2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8.75" customHeight="1">
      <c r="A156" s="5"/>
      <c r="B156" s="2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8.75" customHeight="1">
      <c r="A157" s="5"/>
      <c r="B157" s="2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8.75" customHeight="1">
      <c r="A158" s="5"/>
      <c r="B158" s="2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8.75" customHeight="1">
      <c r="A159" s="5"/>
      <c r="B159" s="2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8.75" customHeight="1">
      <c r="A160" s="5"/>
      <c r="B160" s="2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8.75" customHeight="1">
      <c r="A161" s="5"/>
      <c r="B161" s="2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8.75" customHeight="1">
      <c r="A162" s="5"/>
      <c r="B162" s="2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8.75" customHeight="1">
      <c r="A163" s="5"/>
      <c r="B163" s="2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8.75" customHeight="1">
      <c r="A164" s="5"/>
      <c r="B164" s="2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8.75" customHeight="1">
      <c r="A165" s="5"/>
      <c r="B165" s="2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8.75" customHeight="1">
      <c r="A166" s="5"/>
      <c r="B166" s="2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8.75" customHeight="1">
      <c r="A167" s="5"/>
      <c r="B167" s="2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8.75" customHeight="1">
      <c r="A168" s="5"/>
      <c r="B168" s="2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8.75" customHeight="1">
      <c r="A169" s="5"/>
      <c r="B169" s="2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8.75" customHeight="1">
      <c r="A170" s="5"/>
      <c r="B170" s="2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8.75" customHeight="1">
      <c r="A171" s="5"/>
      <c r="B171" s="2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8.75" customHeight="1">
      <c r="A172" s="5"/>
      <c r="B172" s="2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8.75" customHeight="1">
      <c r="A173" s="5"/>
      <c r="B173" s="2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8.75" customHeight="1">
      <c r="A174" s="5"/>
      <c r="B174" s="2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8.75" customHeight="1">
      <c r="A175" s="5"/>
      <c r="B175" s="2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8.75" customHeight="1">
      <c r="A176" s="5"/>
      <c r="B176" s="2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8.75" customHeight="1">
      <c r="A177" s="5"/>
      <c r="B177" s="2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8.75" customHeight="1">
      <c r="A178" s="5"/>
      <c r="B178" s="2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8.75" customHeight="1">
      <c r="A179" s="5"/>
      <c r="B179" s="2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8.75" customHeight="1">
      <c r="A180" s="5"/>
      <c r="B180" s="2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8.75" customHeight="1">
      <c r="A181" s="5"/>
      <c r="B181" s="2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8.75" customHeight="1">
      <c r="A182" s="5"/>
      <c r="B182" s="2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8.75" customHeight="1">
      <c r="A183" s="5"/>
      <c r="B183" s="2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8.75" customHeight="1">
      <c r="A184" s="5"/>
      <c r="B184" s="2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8.75" customHeight="1">
      <c r="A185" s="5"/>
      <c r="B185" s="2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8.75" customHeight="1">
      <c r="A186" s="5"/>
      <c r="B186" s="2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8.75" customHeight="1">
      <c r="A187" s="5"/>
      <c r="B187" s="2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8.75" customHeight="1">
      <c r="A188" s="5"/>
      <c r="B188" s="2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8.75" customHeight="1">
      <c r="A189" s="5"/>
      <c r="B189" s="2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8.75" customHeight="1">
      <c r="A190" s="5"/>
      <c r="B190" s="2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8.75" customHeight="1">
      <c r="A191" s="5"/>
      <c r="B191" s="2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8.75" customHeight="1">
      <c r="A192" s="5"/>
      <c r="B192" s="2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8.75" customHeight="1">
      <c r="A193" s="5"/>
      <c r="B193" s="2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8.75" customHeight="1">
      <c r="A194" s="5"/>
      <c r="B194" s="2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8.75" customHeight="1">
      <c r="A195" s="5"/>
      <c r="B195" s="2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8.75" customHeight="1">
      <c r="A196" s="5"/>
      <c r="B196" s="2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8.75" customHeight="1">
      <c r="A197" s="5"/>
      <c r="B197" s="2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8.75" customHeight="1">
      <c r="A198" s="5"/>
      <c r="B198" s="2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8.75" customHeight="1">
      <c r="A199" s="5"/>
      <c r="B199" s="2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8.75" customHeight="1">
      <c r="A200" s="5"/>
      <c r="B200" s="2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8.75" customHeight="1">
      <c r="A201" s="5"/>
      <c r="B201" s="2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8.75" customHeight="1">
      <c r="A202" s="5"/>
      <c r="B202" s="2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8.75" customHeight="1">
      <c r="A203" s="5"/>
      <c r="B203" s="2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8.75" customHeight="1">
      <c r="A204" s="5"/>
      <c r="B204" s="2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8.75" customHeight="1">
      <c r="A205" s="5"/>
      <c r="B205" s="2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8.75" customHeight="1">
      <c r="A206" s="5"/>
      <c r="B206" s="2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8.75" customHeight="1">
      <c r="A207" s="5"/>
      <c r="B207" s="2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8.75" customHeight="1">
      <c r="A208" s="5"/>
      <c r="B208" s="2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8.75" customHeight="1">
      <c r="A209" s="5"/>
      <c r="B209" s="2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8.75" customHeight="1">
      <c r="A210" s="5"/>
      <c r="B210" s="2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8.75" customHeight="1">
      <c r="A211" s="5"/>
      <c r="B211" s="2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8.75" customHeight="1">
      <c r="A212" s="5"/>
      <c r="B212" s="2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8.75" customHeight="1">
      <c r="A213" s="5"/>
      <c r="B213" s="2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8.75" customHeight="1">
      <c r="A214" s="5"/>
      <c r="B214" s="2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8.75" customHeight="1">
      <c r="A215" s="5"/>
      <c r="B215" s="2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8.75" customHeight="1">
      <c r="A216" s="5"/>
      <c r="B216" s="2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8.75" customHeight="1">
      <c r="A217" s="5"/>
      <c r="B217" s="2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8.75" customHeight="1">
      <c r="A218" s="5"/>
      <c r="B218" s="2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8.75" customHeight="1">
      <c r="A219" s="5"/>
      <c r="B219" s="2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8.75" customHeight="1">
      <c r="A220" s="5"/>
      <c r="B220" s="2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8.75" customHeight="1">
      <c r="A221" s="5"/>
      <c r="B221" s="2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8.75" customHeight="1">
      <c r="A222" s="5"/>
      <c r="B222" s="2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8.75" customHeight="1">
      <c r="A223" s="5"/>
      <c r="B223" s="2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8.75" customHeight="1">
      <c r="A224" s="5"/>
      <c r="B224" s="2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8.75" customHeight="1">
      <c r="A225" s="5"/>
      <c r="B225" s="2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8.75" customHeight="1">
      <c r="A226" s="5"/>
      <c r="B226" s="2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8.75" customHeight="1">
      <c r="A227" s="5"/>
      <c r="B227" s="2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8.75" customHeight="1">
      <c r="A228" s="5"/>
      <c r="B228" s="2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8.75" customHeight="1">
      <c r="A229" s="5"/>
      <c r="B229" s="2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8.75" customHeight="1">
      <c r="A230" s="5"/>
      <c r="B230" s="2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8.75" customHeight="1">
      <c r="A231" s="5"/>
      <c r="B231" s="2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8.75" customHeight="1">
      <c r="A232" s="5"/>
      <c r="B232" s="2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8.75" customHeight="1">
      <c r="A233" s="5"/>
      <c r="B233" s="2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8.75" customHeight="1">
      <c r="A234" s="5"/>
      <c r="B234" s="2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8.75" customHeight="1">
      <c r="A235" s="5"/>
      <c r="B235" s="2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8.75" customHeight="1">
      <c r="A236" s="5"/>
      <c r="B236" s="2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8.75" customHeight="1">
      <c r="A237" s="5"/>
      <c r="B237" s="2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8.75" customHeight="1">
      <c r="A238" s="5"/>
      <c r="B238" s="2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8.75" customHeight="1">
      <c r="A239" s="5"/>
      <c r="B239" s="2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8.75" customHeight="1">
      <c r="A240" s="5"/>
      <c r="B240" s="2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8.75" customHeight="1">
      <c r="A241" s="5"/>
      <c r="B241" s="2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8.75" customHeight="1">
      <c r="A242" s="5"/>
      <c r="B242" s="2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8.75" customHeight="1">
      <c r="A243" s="5"/>
      <c r="B243" s="2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8.75" customHeight="1">
      <c r="A244" s="5"/>
      <c r="B244" s="2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8.75" customHeight="1">
      <c r="A245" s="5"/>
      <c r="B245" s="2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8.75" customHeight="1">
      <c r="A246" s="5"/>
      <c r="B246" s="2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8.75" customHeight="1">
      <c r="A247" s="5"/>
      <c r="B247" s="2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8.75" customHeight="1">
      <c r="A248" s="5"/>
      <c r="B248" s="2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8.75" customHeight="1">
      <c r="A249" s="5"/>
      <c r="B249" s="2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8.75" customHeight="1">
      <c r="A250" s="5"/>
      <c r="B250" s="2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8.75" customHeight="1">
      <c r="A251" s="5"/>
      <c r="B251" s="2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8.75" customHeight="1">
      <c r="A252" s="5"/>
      <c r="B252" s="2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8.75" customHeight="1">
      <c r="A253" s="5"/>
      <c r="B253" s="2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8.75" customHeight="1">
      <c r="A254" s="5"/>
      <c r="B254" s="2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8.75" customHeight="1">
      <c r="A255" s="5"/>
      <c r="B255" s="2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8.75" customHeight="1">
      <c r="A256" s="5"/>
      <c r="B256" s="2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8.75" customHeight="1">
      <c r="A257" s="5"/>
      <c r="B257" s="2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8.75" customHeight="1">
      <c r="A258" s="5"/>
      <c r="B258" s="2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8.75" customHeight="1">
      <c r="A259" s="5"/>
      <c r="B259" s="2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8.75" customHeight="1">
      <c r="A260" s="5"/>
      <c r="B260" s="2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8.75" customHeight="1">
      <c r="A261" s="5"/>
      <c r="B261" s="2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8.75" customHeight="1">
      <c r="A262" s="5"/>
      <c r="B262" s="2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8.75" customHeight="1">
      <c r="A263" s="5"/>
      <c r="B263" s="2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8.75" customHeight="1">
      <c r="A264" s="5"/>
      <c r="B264" s="2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8.75" customHeight="1">
      <c r="A265" s="5"/>
      <c r="B265" s="2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8.75" customHeight="1">
      <c r="A266" s="5"/>
      <c r="B266" s="2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8.75" customHeight="1">
      <c r="A267" s="5"/>
      <c r="B267" s="2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8.75" customHeight="1">
      <c r="A268" s="5"/>
      <c r="B268" s="2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8.75" customHeight="1">
      <c r="A269" s="5"/>
      <c r="B269" s="2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8.75" customHeight="1">
      <c r="A270" s="5"/>
      <c r="B270" s="2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8.75" customHeight="1">
      <c r="A271" s="5"/>
      <c r="B271" s="2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8.75" customHeight="1">
      <c r="A272" s="5"/>
      <c r="B272" s="2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8.75" customHeight="1">
      <c r="A273" s="5"/>
      <c r="B273" s="2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8.75" customHeight="1">
      <c r="A274" s="5"/>
      <c r="B274" s="2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8.75" customHeight="1">
      <c r="A275" s="5"/>
      <c r="B275" s="2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8.75" customHeight="1">
      <c r="A276" s="5"/>
      <c r="B276" s="2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8.75" customHeight="1">
      <c r="A277" s="5"/>
      <c r="B277" s="2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8.75" customHeight="1">
      <c r="A278" s="5"/>
      <c r="B278" s="2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8.75" customHeight="1">
      <c r="A279" s="5"/>
      <c r="B279" s="2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8.75" customHeight="1">
      <c r="A280" s="5"/>
      <c r="B280" s="2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8.75" customHeight="1">
      <c r="A281" s="5"/>
      <c r="B281" s="2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8.75" customHeight="1">
      <c r="A282" s="5"/>
      <c r="B282" s="2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8.75" customHeight="1">
      <c r="A283" s="5"/>
      <c r="B283" s="2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8.75" customHeight="1">
      <c r="A284" s="5"/>
      <c r="B284" s="2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8.75" customHeight="1">
      <c r="A285" s="5"/>
      <c r="B285" s="2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8.75" customHeight="1">
      <c r="A286" s="5"/>
      <c r="B286" s="2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8.75" customHeight="1">
      <c r="A287" s="5"/>
      <c r="B287" s="2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8.75" customHeight="1">
      <c r="A288" s="5"/>
      <c r="B288" s="2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8.75" customHeight="1">
      <c r="A289" s="5"/>
      <c r="B289" s="2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8.75" customHeight="1">
      <c r="A290" s="5"/>
      <c r="B290" s="2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8.75" customHeight="1">
      <c r="A291" s="5"/>
      <c r="B291" s="2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8.75" customHeight="1">
      <c r="A292" s="5"/>
      <c r="B292" s="2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8.75" customHeight="1">
      <c r="A293" s="5"/>
      <c r="B293" s="2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8.75" customHeight="1">
      <c r="A294" s="5"/>
      <c r="B294" s="2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8.75" customHeight="1">
      <c r="A295" s="5"/>
      <c r="B295" s="2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8.75" customHeight="1">
      <c r="A296" s="5"/>
      <c r="B296" s="2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8.75" customHeight="1">
      <c r="A297" s="5"/>
      <c r="B297" s="2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8.75" customHeight="1">
      <c r="A298" s="5"/>
      <c r="B298" s="2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8.75" customHeight="1">
      <c r="A299" s="5"/>
      <c r="B299" s="2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8.75" customHeight="1">
      <c r="A300" s="5"/>
      <c r="B300" s="2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8.75" customHeight="1">
      <c r="A301" s="5"/>
      <c r="B301" s="2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8.75" customHeight="1">
      <c r="A302" s="5"/>
      <c r="B302" s="2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8.75" customHeight="1">
      <c r="A303" s="5"/>
      <c r="B303" s="2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8.75" customHeight="1">
      <c r="A304" s="5"/>
      <c r="B304" s="2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8.75" customHeight="1">
      <c r="A305" s="5"/>
      <c r="B305" s="2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8.75" customHeight="1">
      <c r="A306" s="5"/>
      <c r="B306" s="2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8.75" customHeight="1">
      <c r="A307" s="5"/>
      <c r="B307" s="2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8.75" customHeight="1">
      <c r="A308" s="5"/>
      <c r="B308" s="2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8.75" customHeight="1">
      <c r="A309" s="5"/>
      <c r="B309" s="2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8.75" customHeight="1">
      <c r="A310" s="5"/>
      <c r="B310" s="2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8.75" customHeight="1">
      <c r="A311" s="5"/>
      <c r="B311" s="2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8.75" customHeight="1">
      <c r="A312" s="5"/>
      <c r="B312" s="2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8.75" customHeight="1">
      <c r="A313" s="5"/>
      <c r="B313" s="2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8.75" customHeight="1">
      <c r="A314" s="5"/>
      <c r="B314" s="2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8.75" customHeight="1">
      <c r="A315" s="5"/>
      <c r="B315" s="2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8.75" customHeight="1">
      <c r="A316" s="5"/>
      <c r="B316" s="2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8.75" customHeight="1">
      <c r="A317" s="5"/>
      <c r="B317" s="2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8.75" customHeight="1">
      <c r="A318" s="5"/>
      <c r="B318" s="2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8.75" customHeight="1">
      <c r="A319" s="5"/>
      <c r="B319" s="2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8.75" customHeight="1">
      <c r="A320" s="5"/>
      <c r="B320" s="2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8.75" customHeight="1">
      <c r="A321" s="5"/>
      <c r="B321" s="2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8.75" customHeight="1">
      <c r="A322" s="5"/>
      <c r="B322" s="2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8.75" customHeight="1">
      <c r="A323" s="5"/>
      <c r="B323" s="2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8.75" customHeight="1">
      <c r="A324" s="5"/>
      <c r="B324" s="2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8.75" customHeight="1">
      <c r="A325" s="5"/>
      <c r="B325" s="2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8.75" customHeight="1">
      <c r="A326" s="5"/>
      <c r="B326" s="2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8.75" customHeight="1">
      <c r="A327" s="5"/>
      <c r="B327" s="2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8.75" customHeight="1">
      <c r="A328" s="5"/>
      <c r="B328" s="2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8.75" customHeight="1">
      <c r="A329" s="5"/>
      <c r="B329" s="2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8.75" customHeight="1">
      <c r="A330" s="5"/>
      <c r="B330" s="2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8.75" customHeight="1">
      <c r="A331" s="5"/>
      <c r="B331" s="2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8.75" customHeight="1">
      <c r="A332" s="5"/>
      <c r="B332" s="2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8.75" customHeight="1">
      <c r="A333" s="5"/>
      <c r="B333" s="2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8.75" customHeight="1">
      <c r="A334" s="5"/>
      <c r="B334" s="2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8.75" customHeight="1">
      <c r="A335" s="5"/>
      <c r="B335" s="2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8.75" customHeight="1">
      <c r="A336" s="5"/>
      <c r="B336" s="2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8.75" customHeight="1">
      <c r="A337" s="5"/>
      <c r="B337" s="2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8.75" customHeight="1">
      <c r="A338" s="5"/>
      <c r="B338" s="2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8.75" customHeight="1">
      <c r="A339" s="5"/>
      <c r="B339" s="2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8.75" customHeight="1">
      <c r="A340" s="5"/>
      <c r="B340" s="2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8.75" customHeight="1">
      <c r="A341" s="5"/>
      <c r="B341" s="2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8.75" customHeight="1">
      <c r="A342" s="5"/>
      <c r="B342" s="2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8.75" customHeight="1">
      <c r="A343" s="5"/>
      <c r="B343" s="2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8.75" customHeight="1">
      <c r="A344" s="5"/>
      <c r="B344" s="2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8.75" customHeight="1">
      <c r="A345" s="5"/>
      <c r="B345" s="2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8.75" customHeight="1">
      <c r="A346" s="5"/>
      <c r="B346" s="2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8.75" customHeight="1">
      <c r="A347" s="5"/>
      <c r="B347" s="2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8.75" customHeight="1">
      <c r="A348" s="5"/>
      <c r="B348" s="2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8.75" customHeight="1">
      <c r="A349" s="5"/>
      <c r="B349" s="2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8.75" customHeight="1">
      <c r="A350" s="5"/>
      <c r="B350" s="2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8.75" customHeight="1">
      <c r="A351" s="5"/>
      <c r="B351" s="2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8.75" customHeight="1">
      <c r="A352" s="5"/>
      <c r="B352" s="2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8.75" customHeight="1">
      <c r="A353" s="5"/>
      <c r="B353" s="2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8.75" customHeight="1">
      <c r="A354" s="5"/>
      <c r="B354" s="2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8.75" customHeight="1">
      <c r="A355" s="5"/>
      <c r="B355" s="2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8.75" customHeight="1">
      <c r="A356" s="5"/>
      <c r="B356" s="2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8.75" customHeight="1">
      <c r="A357" s="5"/>
      <c r="B357" s="2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8.75" customHeight="1">
      <c r="A358" s="5"/>
      <c r="B358" s="2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8.75" customHeight="1">
      <c r="A359" s="5"/>
      <c r="B359" s="2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8.75" customHeight="1">
      <c r="A360" s="5"/>
      <c r="B360" s="2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8.75" customHeight="1">
      <c r="A361" s="5"/>
      <c r="B361" s="2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8.75" customHeight="1">
      <c r="A362" s="5"/>
      <c r="B362" s="2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8.75" customHeight="1">
      <c r="A363" s="5"/>
      <c r="B363" s="2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8.75" customHeight="1">
      <c r="A364" s="5"/>
      <c r="B364" s="2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8.75" customHeight="1">
      <c r="A365" s="5"/>
      <c r="B365" s="2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8.75" customHeight="1">
      <c r="A366" s="5"/>
      <c r="B366" s="2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8.75" customHeight="1">
      <c r="A367" s="5"/>
      <c r="B367" s="2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8.75" customHeight="1">
      <c r="A368" s="5"/>
      <c r="B368" s="2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8.75" customHeight="1">
      <c r="A369" s="5"/>
      <c r="B369" s="2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8.75" customHeight="1">
      <c r="A370" s="5"/>
      <c r="B370" s="2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8.75" customHeight="1">
      <c r="A371" s="5"/>
      <c r="B371" s="2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8.75" customHeight="1">
      <c r="A372" s="5"/>
      <c r="B372" s="2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8.75" customHeight="1">
      <c r="A373" s="5"/>
      <c r="B373" s="2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8.75" customHeight="1">
      <c r="A374" s="5"/>
      <c r="B374" s="2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8.75" customHeight="1">
      <c r="A375" s="5"/>
      <c r="B375" s="2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8.75" customHeight="1">
      <c r="A376" s="5"/>
      <c r="B376" s="2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8.75" customHeight="1">
      <c r="A377" s="5"/>
      <c r="B377" s="2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8.75" customHeight="1">
      <c r="A378" s="5"/>
      <c r="B378" s="2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8.75" customHeight="1">
      <c r="A379" s="5"/>
      <c r="B379" s="2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8.75" customHeight="1">
      <c r="A380" s="5"/>
      <c r="B380" s="2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8.75" customHeight="1">
      <c r="A381" s="5"/>
      <c r="B381" s="2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8.75" customHeight="1">
      <c r="A382" s="5"/>
      <c r="B382" s="2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8.75" customHeight="1">
      <c r="A383" s="5"/>
      <c r="B383" s="2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8.75" customHeight="1">
      <c r="A384" s="5"/>
      <c r="B384" s="2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8.75" customHeight="1">
      <c r="A385" s="5"/>
      <c r="B385" s="2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8.75" customHeight="1">
      <c r="A386" s="5"/>
      <c r="B386" s="2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8.75" customHeight="1">
      <c r="A387" s="5"/>
      <c r="B387" s="2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8.75" customHeight="1">
      <c r="A388" s="5"/>
      <c r="B388" s="2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8.75" customHeight="1">
      <c r="A389" s="5"/>
      <c r="B389" s="2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8.75" customHeight="1">
      <c r="A390" s="5"/>
      <c r="B390" s="2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8.75" customHeight="1">
      <c r="A391" s="5"/>
      <c r="B391" s="2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8.75" customHeight="1">
      <c r="A392" s="5"/>
      <c r="B392" s="2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8.75" customHeight="1">
      <c r="A393" s="5"/>
      <c r="B393" s="2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8.75" customHeight="1">
      <c r="A394" s="5"/>
      <c r="B394" s="2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8.75" customHeight="1">
      <c r="A395" s="5"/>
      <c r="B395" s="2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8.75" customHeight="1">
      <c r="A396" s="5"/>
      <c r="B396" s="2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8.75" customHeight="1">
      <c r="A397" s="5"/>
      <c r="B397" s="2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8.75" customHeight="1">
      <c r="A398" s="5"/>
      <c r="B398" s="2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8.75" customHeight="1">
      <c r="A399" s="5"/>
      <c r="B399" s="2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8.75" customHeight="1">
      <c r="A400" s="5"/>
      <c r="B400" s="2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8.75" customHeight="1">
      <c r="A401" s="5"/>
      <c r="B401" s="2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8.75" customHeight="1">
      <c r="A402" s="5"/>
      <c r="B402" s="2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8.75" customHeight="1">
      <c r="A403" s="5"/>
      <c r="B403" s="2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8.75" customHeight="1">
      <c r="A404" s="5"/>
      <c r="B404" s="2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8.75" customHeight="1">
      <c r="A405" s="5"/>
      <c r="B405" s="2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8.75" customHeight="1">
      <c r="A406" s="5"/>
      <c r="B406" s="2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8.75" customHeight="1">
      <c r="A407" s="5"/>
      <c r="B407" s="2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8.75" customHeight="1">
      <c r="A408" s="5"/>
      <c r="B408" s="2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8.75" customHeight="1">
      <c r="A409" s="5"/>
      <c r="B409" s="2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8.75" customHeight="1">
      <c r="A410" s="5"/>
      <c r="B410" s="2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8.75" customHeight="1">
      <c r="A411" s="5"/>
      <c r="B411" s="2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8.75" customHeight="1">
      <c r="A412" s="5"/>
      <c r="B412" s="2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8.75" customHeight="1">
      <c r="A413" s="5"/>
      <c r="B413" s="2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8.75" customHeight="1">
      <c r="A414" s="5"/>
      <c r="B414" s="2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8.75" customHeight="1">
      <c r="A415" s="5"/>
      <c r="B415" s="2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8.75" customHeight="1">
      <c r="A416" s="5"/>
      <c r="B416" s="2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8.75" customHeight="1">
      <c r="A417" s="5"/>
      <c r="B417" s="2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8.75" customHeight="1">
      <c r="A418" s="5"/>
      <c r="B418" s="2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8.75" customHeight="1">
      <c r="A419" s="5"/>
      <c r="B419" s="2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8.75" customHeight="1">
      <c r="A420" s="5"/>
      <c r="B420" s="2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8.75" customHeight="1">
      <c r="A421" s="5"/>
      <c r="B421" s="2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8.75" customHeight="1">
      <c r="A422" s="5"/>
      <c r="B422" s="2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8.75" customHeight="1">
      <c r="A423" s="5"/>
      <c r="B423" s="2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8.75" customHeight="1">
      <c r="A424" s="5"/>
      <c r="B424" s="2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8.75" customHeight="1">
      <c r="A425" s="5"/>
      <c r="B425" s="2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8.75" customHeight="1">
      <c r="A426" s="5"/>
      <c r="B426" s="2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8.75" customHeight="1">
      <c r="A427" s="5"/>
      <c r="B427" s="2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8.75" customHeight="1">
      <c r="A428" s="5"/>
      <c r="B428" s="2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8.75" customHeight="1">
      <c r="A429" s="5"/>
      <c r="B429" s="2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8.75" customHeight="1">
      <c r="A430" s="5"/>
      <c r="B430" s="2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8.75" customHeight="1">
      <c r="A431" s="5"/>
      <c r="B431" s="2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8.75" customHeight="1">
      <c r="A432" s="5"/>
      <c r="B432" s="2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8.75" customHeight="1">
      <c r="A433" s="5"/>
      <c r="B433" s="2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8.75" customHeight="1">
      <c r="A434" s="5"/>
      <c r="B434" s="2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8.75" customHeight="1">
      <c r="A435" s="5"/>
      <c r="B435" s="2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8.75" customHeight="1">
      <c r="A436" s="5"/>
      <c r="B436" s="2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8.75" customHeight="1">
      <c r="A437" s="5"/>
      <c r="B437" s="2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8.75" customHeight="1">
      <c r="A438" s="5"/>
      <c r="B438" s="2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8.75" customHeight="1">
      <c r="A439" s="5"/>
      <c r="B439" s="2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8.75" customHeight="1">
      <c r="A440" s="5"/>
      <c r="B440" s="2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8.75" customHeight="1">
      <c r="A441" s="5"/>
      <c r="B441" s="2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8.75" customHeight="1">
      <c r="A442" s="5"/>
      <c r="B442" s="2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8.75" customHeight="1">
      <c r="A443" s="5"/>
      <c r="B443" s="2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8.75" customHeight="1">
      <c r="A444" s="5"/>
      <c r="B444" s="2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8.75" customHeight="1">
      <c r="A445" s="5"/>
      <c r="B445" s="2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8.75" customHeight="1">
      <c r="A446" s="5"/>
      <c r="B446" s="2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8.75" customHeight="1">
      <c r="A447" s="5"/>
      <c r="B447" s="2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8.75" customHeight="1">
      <c r="A448" s="5"/>
      <c r="B448" s="2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8.75" customHeight="1">
      <c r="A449" s="5"/>
      <c r="B449" s="2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8.75" customHeight="1">
      <c r="A450" s="5"/>
      <c r="B450" s="2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8.75" customHeight="1">
      <c r="A451" s="5"/>
      <c r="B451" s="2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8.75" customHeight="1">
      <c r="A452" s="5"/>
      <c r="B452" s="2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8.75" customHeight="1">
      <c r="A453" s="5"/>
      <c r="B453" s="2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8.75" customHeight="1">
      <c r="A454" s="5"/>
      <c r="B454" s="2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8.75" customHeight="1">
      <c r="A455" s="5"/>
      <c r="B455" s="2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8.75" customHeight="1">
      <c r="A456" s="5"/>
      <c r="B456" s="2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8.75" customHeight="1">
      <c r="A457" s="5"/>
      <c r="B457" s="2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8.75" customHeight="1">
      <c r="A458" s="5"/>
      <c r="B458" s="2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8.75" customHeight="1">
      <c r="A459" s="5"/>
      <c r="B459" s="2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8.75" customHeight="1">
      <c r="A460" s="5"/>
      <c r="B460" s="2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8.75" customHeight="1">
      <c r="A461" s="5"/>
      <c r="B461" s="2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8.75" customHeight="1">
      <c r="A462" s="5"/>
      <c r="B462" s="2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8.75" customHeight="1">
      <c r="A463" s="5"/>
      <c r="B463" s="2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8.75" customHeight="1">
      <c r="A464" s="5"/>
      <c r="B464" s="2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8.75" customHeight="1">
      <c r="A465" s="5"/>
      <c r="B465" s="2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8.75" customHeight="1">
      <c r="A466" s="5"/>
      <c r="B466" s="2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8.75" customHeight="1">
      <c r="A467" s="5"/>
      <c r="B467" s="2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8.75" customHeight="1">
      <c r="A468" s="5"/>
      <c r="B468" s="2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8.75" customHeight="1">
      <c r="A469" s="5"/>
      <c r="B469" s="2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8.75" customHeight="1">
      <c r="A470" s="5"/>
      <c r="B470" s="2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8.75" customHeight="1">
      <c r="A471" s="5"/>
      <c r="B471" s="2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8.75" customHeight="1">
      <c r="A472" s="5"/>
      <c r="B472" s="2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8.75" customHeight="1">
      <c r="A473" s="5"/>
      <c r="B473" s="2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8.75" customHeight="1">
      <c r="A474" s="5"/>
      <c r="B474" s="2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8.75" customHeight="1">
      <c r="A475" s="5"/>
      <c r="B475" s="2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8.75" customHeight="1">
      <c r="A476" s="5"/>
      <c r="B476" s="2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8.75" customHeight="1">
      <c r="A477" s="5"/>
      <c r="B477" s="2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8.75" customHeight="1">
      <c r="A478" s="5"/>
      <c r="B478" s="2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8.75" customHeight="1">
      <c r="A479" s="5"/>
      <c r="B479" s="2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8.75" customHeight="1">
      <c r="A480" s="5"/>
      <c r="B480" s="2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8.75" customHeight="1">
      <c r="A481" s="5"/>
      <c r="B481" s="2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8.75" customHeight="1">
      <c r="A482" s="5"/>
      <c r="B482" s="2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8.75" customHeight="1">
      <c r="A483" s="5"/>
      <c r="B483" s="2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8.75" customHeight="1">
      <c r="A484" s="5"/>
      <c r="B484" s="2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8.75" customHeight="1">
      <c r="A485" s="5"/>
      <c r="B485" s="2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8.75" customHeight="1">
      <c r="A486" s="5"/>
      <c r="B486" s="2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8.75" customHeight="1">
      <c r="A487" s="5"/>
      <c r="B487" s="2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8.75" customHeight="1">
      <c r="A488" s="5"/>
      <c r="B488" s="2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8.75" customHeight="1">
      <c r="A489" s="5"/>
      <c r="B489" s="2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8.75" customHeight="1">
      <c r="A490" s="5"/>
      <c r="B490" s="2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8.75" customHeight="1">
      <c r="A491" s="5"/>
      <c r="B491" s="2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8.75" customHeight="1">
      <c r="A492" s="5"/>
      <c r="B492" s="2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8.75" customHeight="1">
      <c r="A493" s="5"/>
      <c r="B493" s="2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8.75" customHeight="1">
      <c r="A494" s="5"/>
      <c r="B494" s="2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8.75" customHeight="1">
      <c r="A495" s="5"/>
      <c r="B495" s="2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8.75" customHeight="1">
      <c r="A496" s="5"/>
      <c r="B496" s="2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8.75" customHeight="1">
      <c r="A497" s="5"/>
      <c r="B497" s="2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8.75" customHeight="1">
      <c r="A498" s="5"/>
      <c r="B498" s="2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8.75" customHeight="1">
      <c r="A499" s="5"/>
      <c r="B499" s="2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8.75" customHeight="1">
      <c r="A500" s="5"/>
      <c r="B500" s="2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8.75" customHeight="1">
      <c r="A501" s="5"/>
      <c r="B501" s="2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8.75" customHeight="1">
      <c r="A502" s="5"/>
      <c r="B502" s="2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8.75" customHeight="1">
      <c r="A503" s="5"/>
      <c r="B503" s="2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8.75" customHeight="1">
      <c r="A504" s="5"/>
      <c r="B504" s="2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8.75" customHeight="1">
      <c r="A505" s="5"/>
      <c r="B505" s="2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8.75" customHeight="1">
      <c r="A506" s="5"/>
      <c r="B506" s="2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8.75" customHeight="1">
      <c r="A507" s="5"/>
      <c r="B507" s="2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8.75" customHeight="1">
      <c r="A508" s="5"/>
      <c r="B508" s="2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8.75" customHeight="1">
      <c r="A509" s="5"/>
      <c r="B509" s="2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8.75" customHeight="1">
      <c r="A510" s="5"/>
      <c r="B510" s="2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8.75" customHeight="1">
      <c r="A511" s="5"/>
      <c r="B511" s="2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8.75" customHeight="1">
      <c r="A512" s="5"/>
      <c r="B512" s="2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8.75" customHeight="1">
      <c r="A513" s="5"/>
      <c r="B513" s="2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8.75" customHeight="1">
      <c r="A514" s="5"/>
      <c r="B514" s="2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8.75" customHeight="1">
      <c r="A515" s="5"/>
      <c r="B515" s="2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8.75" customHeight="1">
      <c r="A516" s="5"/>
      <c r="B516" s="2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8.75" customHeight="1">
      <c r="A517" s="5"/>
      <c r="B517" s="2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8.75" customHeight="1">
      <c r="A518" s="5"/>
      <c r="B518" s="2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8.75" customHeight="1">
      <c r="A519" s="5"/>
      <c r="B519" s="2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8.75" customHeight="1">
      <c r="A520" s="5"/>
      <c r="B520" s="2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8.75" customHeight="1">
      <c r="A521" s="5"/>
      <c r="B521" s="2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8.75" customHeight="1">
      <c r="A522" s="5"/>
      <c r="B522" s="2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8.75" customHeight="1">
      <c r="A523" s="5"/>
      <c r="B523" s="2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8.75" customHeight="1">
      <c r="A524" s="5"/>
      <c r="B524" s="2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8.75" customHeight="1">
      <c r="A525" s="5"/>
      <c r="B525" s="2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8.75" customHeight="1">
      <c r="A526" s="5"/>
      <c r="B526" s="2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8.75" customHeight="1">
      <c r="A527" s="5"/>
      <c r="B527" s="2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8.75" customHeight="1">
      <c r="A528" s="5"/>
      <c r="B528" s="2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8.75" customHeight="1">
      <c r="A529" s="5"/>
      <c r="B529" s="2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8.75" customHeight="1">
      <c r="A530" s="5"/>
      <c r="B530" s="2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8.75" customHeight="1">
      <c r="A531" s="5"/>
      <c r="B531" s="2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8.75" customHeight="1">
      <c r="A532" s="5"/>
      <c r="B532" s="2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8.75" customHeight="1">
      <c r="A533" s="5"/>
      <c r="B533" s="2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8.75" customHeight="1">
      <c r="A534" s="5"/>
      <c r="B534" s="2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8.75" customHeight="1">
      <c r="A535" s="5"/>
      <c r="B535" s="2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8.75" customHeight="1">
      <c r="A536" s="5"/>
      <c r="B536" s="2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8.75" customHeight="1">
      <c r="A537" s="5"/>
      <c r="B537" s="2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8.75" customHeight="1">
      <c r="A538" s="5"/>
      <c r="B538" s="2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8.75" customHeight="1">
      <c r="A539" s="5"/>
      <c r="B539" s="2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8.75" customHeight="1">
      <c r="A540" s="5"/>
      <c r="B540" s="2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8.75" customHeight="1">
      <c r="A541" s="5"/>
      <c r="B541" s="2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8.75" customHeight="1">
      <c r="A542" s="5"/>
      <c r="B542" s="2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8.75" customHeight="1">
      <c r="A543" s="5"/>
      <c r="B543" s="2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8.75" customHeight="1">
      <c r="A544" s="5"/>
      <c r="B544" s="2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8.75" customHeight="1">
      <c r="A545" s="5"/>
      <c r="B545" s="2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8.75" customHeight="1">
      <c r="A546" s="5"/>
      <c r="B546" s="2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8.75" customHeight="1">
      <c r="A547" s="5"/>
      <c r="B547" s="2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8.75" customHeight="1">
      <c r="A548" s="5"/>
      <c r="B548" s="2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8.75" customHeight="1">
      <c r="A549" s="5"/>
      <c r="B549" s="2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8.75" customHeight="1">
      <c r="A550" s="5"/>
      <c r="B550" s="2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8.75" customHeight="1">
      <c r="A551" s="5"/>
      <c r="B551" s="2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8.75" customHeight="1">
      <c r="A552" s="5"/>
      <c r="B552" s="2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8.75" customHeight="1">
      <c r="A553" s="5"/>
      <c r="B553" s="2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8.75" customHeight="1">
      <c r="A554" s="5"/>
      <c r="B554" s="2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8.75" customHeight="1">
      <c r="A555" s="5"/>
      <c r="B555" s="2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8.75" customHeight="1">
      <c r="A556" s="5"/>
      <c r="B556" s="2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8.75" customHeight="1">
      <c r="A557" s="5"/>
      <c r="B557" s="2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8.75" customHeight="1">
      <c r="A558" s="5"/>
      <c r="B558" s="2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8.75" customHeight="1">
      <c r="A559" s="5"/>
      <c r="B559" s="2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8.75" customHeight="1">
      <c r="A560" s="5"/>
      <c r="B560" s="2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8.75" customHeight="1">
      <c r="A561" s="5"/>
      <c r="B561" s="2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8.75" customHeight="1">
      <c r="A562" s="5"/>
      <c r="B562" s="2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8.75" customHeight="1">
      <c r="A563" s="5"/>
      <c r="B563" s="2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8.75" customHeight="1">
      <c r="A564" s="5"/>
      <c r="B564" s="2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8.75" customHeight="1">
      <c r="A565" s="5"/>
      <c r="B565" s="2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8.75" customHeight="1">
      <c r="A566" s="5"/>
      <c r="B566" s="2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8.75" customHeight="1">
      <c r="A567" s="5"/>
      <c r="B567" s="2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8.75" customHeight="1">
      <c r="A568" s="5"/>
      <c r="B568" s="2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8.75" customHeight="1">
      <c r="A569" s="5"/>
      <c r="B569" s="2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8.75" customHeight="1">
      <c r="A570" s="5"/>
      <c r="B570" s="2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8.75" customHeight="1">
      <c r="A571" s="5"/>
      <c r="B571" s="2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8.75" customHeight="1">
      <c r="A572" s="5"/>
      <c r="B572" s="2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8.75" customHeight="1">
      <c r="A573" s="5"/>
      <c r="B573" s="2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8.75" customHeight="1">
      <c r="A574" s="5"/>
      <c r="B574" s="2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8.75" customHeight="1">
      <c r="A575" s="5"/>
      <c r="B575" s="2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8.75" customHeight="1">
      <c r="A576" s="5"/>
      <c r="B576" s="2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8.75" customHeight="1">
      <c r="A577" s="5"/>
      <c r="B577" s="2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8.75" customHeight="1">
      <c r="A578" s="5"/>
      <c r="B578" s="2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8.75" customHeight="1">
      <c r="A579" s="5"/>
      <c r="B579" s="2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8.75" customHeight="1">
      <c r="A580" s="5"/>
      <c r="B580" s="2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8.75" customHeight="1">
      <c r="A581" s="5"/>
      <c r="B581" s="2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8.75" customHeight="1">
      <c r="A582" s="5"/>
      <c r="B582" s="2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8.75" customHeight="1">
      <c r="A583" s="5"/>
      <c r="B583" s="2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8.75" customHeight="1">
      <c r="A584" s="5"/>
      <c r="B584" s="2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8.75" customHeight="1">
      <c r="A585" s="5"/>
      <c r="B585" s="2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8.75" customHeight="1">
      <c r="A586" s="5"/>
      <c r="B586" s="2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8.75" customHeight="1">
      <c r="A587" s="5"/>
      <c r="B587" s="2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8.75" customHeight="1">
      <c r="A588" s="5"/>
      <c r="B588" s="2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8.75" customHeight="1">
      <c r="A589" s="5"/>
      <c r="B589" s="2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8.75" customHeight="1">
      <c r="A590" s="5"/>
      <c r="B590" s="2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8.75" customHeight="1">
      <c r="A591" s="5"/>
      <c r="B591" s="2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8.75" customHeight="1">
      <c r="A592" s="5"/>
      <c r="B592" s="2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8.75" customHeight="1">
      <c r="A593" s="5"/>
      <c r="B593" s="2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8.75" customHeight="1">
      <c r="A594" s="5"/>
      <c r="B594" s="2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8.75" customHeight="1">
      <c r="A595" s="5"/>
      <c r="B595" s="2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8.75" customHeight="1">
      <c r="A596" s="5"/>
      <c r="B596" s="2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8.75" customHeight="1">
      <c r="A597" s="5"/>
      <c r="B597" s="2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8.75" customHeight="1">
      <c r="A598" s="5"/>
      <c r="B598" s="2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8.75" customHeight="1">
      <c r="A599" s="5"/>
      <c r="B599" s="2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8.75" customHeight="1">
      <c r="A600" s="5"/>
      <c r="B600" s="2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8.75" customHeight="1">
      <c r="A601" s="5"/>
      <c r="B601" s="2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8.75" customHeight="1">
      <c r="A602" s="5"/>
      <c r="B602" s="2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8.75" customHeight="1">
      <c r="A603" s="5"/>
      <c r="B603" s="2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8.75" customHeight="1">
      <c r="A604" s="5"/>
      <c r="B604" s="2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8.75" customHeight="1">
      <c r="A605" s="5"/>
      <c r="B605" s="2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8.75" customHeight="1">
      <c r="A606" s="5"/>
      <c r="B606" s="2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8.75" customHeight="1">
      <c r="A607" s="5"/>
      <c r="B607" s="2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8.75" customHeight="1">
      <c r="A608" s="5"/>
      <c r="B608" s="2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8.75" customHeight="1">
      <c r="A609" s="5"/>
      <c r="B609" s="2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8.75" customHeight="1">
      <c r="A610" s="5"/>
      <c r="B610" s="2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8.75" customHeight="1">
      <c r="A611" s="5"/>
      <c r="B611" s="2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8.75" customHeight="1">
      <c r="A612" s="5"/>
      <c r="B612" s="2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8.75" customHeight="1">
      <c r="A613" s="5"/>
      <c r="B613" s="2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8.75" customHeight="1">
      <c r="A614" s="5"/>
      <c r="B614" s="2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8.75" customHeight="1">
      <c r="A615" s="5"/>
      <c r="B615" s="2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8.75" customHeight="1">
      <c r="A616" s="5"/>
      <c r="B616" s="2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8.75" customHeight="1">
      <c r="A617" s="5"/>
      <c r="B617" s="2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8.75" customHeight="1">
      <c r="A618" s="5"/>
      <c r="B618" s="2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8.75" customHeight="1">
      <c r="A619" s="5"/>
      <c r="B619" s="2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8.75" customHeight="1">
      <c r="A620" s="5"/>
      <c r="B620" s="2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8.75" customHeight="1">
      <c r="A621" s="5"/>
      <c r="B621" s="2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8.75" customHeight="1">
      <c r="A622" s="5"/>
      <c r="B622" s="2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8.75" customHeight="1">
      <c r="A623" s="5"/>
      <c r="B623" s="2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8.75" customHeight="1">
      <c r="A624" s="5"/>
      <c r="B624" s="2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8.75" customHeight="1">
      <c r="A625" s="5"/>
      <c r="B625" s="2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8.75" customHeight="1">
      <c r="A626" s="5"/>
      <c r="B626" s="2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8.75" customHeight="1">
      <c r="A627" s="5"/>
      <c r="B627" s="2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8.75" customHeight="1">
      <c r="A628" s="5"/>
      <c r="B628" s="2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8.75" customHeight="1">
      <c r="A629" s="5"/>
      <c r="B629" s="2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8.75" customHeight="1">
      <c r="A630" s="5"/>
      <c r="B630" s="2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8.75" customHeight="1">
      <c r="A631" s="5"/>
      <c r="B631" s="2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8.75" customHeight="1">
      <c r="A632" s="5"/>
      <c r="B632" s="2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8.75" customHeight="1">
      <c r="A633" s="5"/>
      <c r="B633" s="2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8.75" customHeight="1">
      <c r="A634" s="5"/>
      <c r="B634" s="2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8.75" customHeight="1">
      <c r="A635" s="5"/>
      <c r="B635" s="2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8.75" customHeight="1">
      <c r="A636" s="5"/>
      <c r="B636" s="2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8.75" customHeight="1">
      <c r="A637" s="5"/>
      <c r="B637" s="2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8.75" customHeight="1">
      <c r="A638" s="5"/>
      <c r="B638" s="2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8.75" customHeight="1">
      <c r="A639" s="5"/>
      <c r="B639" s="2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8.75" customHeight="1">
      <c r="A640" s="5"/>
      <c r="B640" s="2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8.75" customHeight="1">
      <c r="A641" s="5"/>
      <c r="B641" s="2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8.75" customHeight="1">
      <c r="A642" s="5"/>
      <c r="B642" s="2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8.75" customHeight="1">
      <c r="A643" s="5"/>
      <c r="B643" s="2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8.75" customHeight="1">
      <c r="A644" s="5"/>
      <c r="B644" s="2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8.75" customHeight="1">
      <c r="A645" s="5"/>
      <c r="B645" s="2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8.75" customHeight="1">
      <c r="A646" s="5"/>
      <c r="B646" s="2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8.75" customHeight="1">
      <c r="A647" s="5"/>
      <c r="B647" s="2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8.75" customHeight="1">
      <c r="A648" s="5"/>
      <c r="B648" s="2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8.75" customHeight="1">
      <c r="A649" s="5"/>
      <c r="B649" s="2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8.75" customHeight="1">
      <c r="A650" s="5"/>
      <c r="B650" s="2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8.75" customHeight="1">
      <c r="A651" s="5"/>
      <c r="B651" s="2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8.75" customHeight="1">
      <c r="A652" s="5"/>
      <c r="B652" s="2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8.75" customHeight="1">
      <c r="A653" s="5"/>
      <c r="B653" s="2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8.75" customHeight="1">
      <c r="A654" s="5"/>
      <c r="B654" s="2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8.75" customHeight="1">
      <c r="A655" s="5"/>
      <c r="B655" s="2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8.75" customHeight="1">
      <c r="A656" s="5"/>
      <c r="B656" s="2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8.75" customHeight="1">
      <c r="A657" s="5"/>
      <c r="B657" s="2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8.75" customHeight="1">
      <c r="A658" s="5"/>
      <c r="B658" s="2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8.75" customHeight="1">
      <c r="A659" s="5"/>
      <c r="B659" s="2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8.75" customHeight="1">
      <c r="A660" s="5"/>
      <c r="B660" s="2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8.75" customHeight="1">
      <c r="A661" s="5"/>
      <c r="B661" s="2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8.75" customHeight="1">
      <c r="A662" s="5"/>
      <c r="B662" s="2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8.75" customHeight="1">
      <c r="A663" s="5"/>
      <c r="B663" s="2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8.75" customHeight="1">
      <c r="A664" s="5"/>
      <c r="B664" s="2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8.75" customHeight="1">
      <c r="A665" s="5"/>
      <c r="B665" s="2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8.75" customHeight="1">
      <c r="A666" s="5"/>
      <c r="B666" s="2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8.75" customHeight="1">
      <c r="A667" s="5"/>
      <c r="B667" s="2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8.75" customHeight="1">
      <c r="A668" s="5"/>
      <c r="B668" s="2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8.75" customHeight="1">
      <c r="A669" s="5"/>
      <c r="B669" s="2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8.75" customHeight="1">
      <c r="A670" s="5"/>
      <c r="B670" s="2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8.75" customHeight="1">
      <c r="A671" s="5"/>
      <c r="B671" s="2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8.75" customHeight="1">
      <c r="A672" s="5"/>
      <c r="B672" s="2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8.75" customHeight="1">
      <c r="A673" s="5"/>
      <c r="B673" s="2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8.75" customHeight="1">
      <c r="A674" s="5"/>
      <c r="B674" s="2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8.75" customHeight="1">
      <c r="A675" s="5"/>
      <c r="B675" s="2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8.75" customHeight="1">
      <c r="A676" s="5"/>
      <c r="B676" s="2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8.75" customHeight="1">
      <c r="A677" s="5"/>
      <c r="B677" s="2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8.75" customHeight="1">
      <c r="A678" s="5"/>
      <c r="B678" s="2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8.75" customHeight="1">
      <c r="A679" s="5"/>
      <c r="B679" s="2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8.75" customHeight="1">
      <c r="A680" s="5"/>
      <c r="B680" s="2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8.75" customHeight="1">
      <c r="A681" s="5"/>
      <c r="B681" s="2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8.75" customHeight="1">
      <c r="A682" s="5"/>
      <c r="B682" s="2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8.75" customHeight="1">
      <c r="A683" s="5"/>
      <c r="B683" s="2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8.75" customHeight="1">
      <c r="A684" s="5"/>
      <c r="B684" s="2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8.75" customHeight="1">
      <c r="A685" s="5"/>
      <c r="B685" s="2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8.75" customHeight="1">
      <c r="A686" s="5"/>
      <c r="B686" s="2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8.75" customHeight="1">
      <c r="A687" s="5"/>
      <c r="B687" s="2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8.75" customHeight="1">
      <c r="A688" s="5"/>
      <c r="B688" s="2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8.75" customHeight="1">
      <c r="A689" s="5"/>
      <c r="B689" s="2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8.75" customHeight="1">
      <c r="A690" s="5"/>
      <c r="B690" s="2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8.75" customHeight="1">
      <c r="A691" s="5"/>
      <c r="B691" s="2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8.75" customHeight="1">
      <c r="A692" s="5"/>
      <c r="B692" s="2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8.75" customHeight="1">
      <c r="A693" s="5"/>
      <c r="B693" s="2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8.75" customHeight="1">
      <c r="A694" s="5"/>
      <c r="B694" s="2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8.75" customHeight="1">
      <c r="A695" s="5"/>
      <c r="B695" s="2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8.75" customHeight="1">
      <c r="A696" s="5"/>
      <c r="B696" s="2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8.75" customHeight="1">
      <c r="A697" s="5"/>
      <c r="B697" s="2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8.75" customHeight="1">
      <c r="A698" s="5"/>
      <c r="B698" s="2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8.75" customHeight="1">
      <c r="A699" s="5"/>
      <c r="B699" s="2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8.75" customHeight="1">
      <c r="A700" s="5"/>
      <c r="B700" s="2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8.75" customHeight="1">
      <c r="A701" s="5"/>
      <c r="B701" s="2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8.75" customHeight="1">
      <c r="A702" s="5"/>
      <c r="B702" s="2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8.75" customHeight="1">
      <c r="A703" s="5"/>
      <c r="B703" s="2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8.75" customHeight="1">
      <c r="A704" s="5"/>
      <c r="B704" s="2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8.75" customHeight="1">
      <c r="A705" s="5"/>
      <c r="B705" s="2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8.75" customHeight="1">
      <c r="A706" s="5"/>
      <c r="B706" s="2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8.75" customHeight="1">
      <c r="A707" s="5"/>
      <c r="B707" s="2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8.75" customHeight="1">
      <c r="A708" s="5"/>
      <c r="B708" s="2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8.75" customHeight="1">
      <c r="A709" s="5"/>
      <c r="B709" s="2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8.75" customHeight="1">
      <c r="A710" s="5"/>
      <c r="B710" s="2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8.75" customHeight="1">
      <c r="A711" s="5"/>
      <c r="B711" s="2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8.75" customHeight="1">
      <c r="A712" s="5"/>
      <c r="B712" s="2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8.75" customHeight="1">
      <c r="A713" s="5"/>
      <c r="B713" s="2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8.75" customHeight="1">
      <c r="A714" s="5"/>
      <c r="B714" s="2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8.75" customHeight="1">
      <c r="A715" s="5"/>
      <c r="B715" s="2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8.75" customHeight="1">
      <c r="A716" s="5"/>
      <c r="B716" s="2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8.75" customHeight="1">
      <c r="A717" s="5"/>
      <c r="B717" s="2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8.75" customHeight="1">
      <c r="A718" s="5"/>
      <c r="B718" s="2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8.75" customHeight="1">
      <c r="A719" s="5"/>
      <c r="B719" s="2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8.75" customHeight="1">
      <c r="A720" s="5"/>
      <c r="B720" s="2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8.75" customHeight="1">
      <c r="A721" s="5"/>
      <c r="B721" s="2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8.75" customHeight="1">
      <c r="A722" s="5"/>
      <c r="B722" s="2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8.75" customHeight="1">
      <c r="A723" s="5"/>
      <c r="B723" s="2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8.75" customHeight="1">
      <c r="A724" s="5"/>
      <c r="B724" s="2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8.75" customHeight="1">
      <c r="A725" s="5"/>
      <c r="B725" s="2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8.75" customHeight="1">
      <c r="A726" s="5"/>
      <c r="B726" s="2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8.75" customHeight="1">
      <c r="A727" s="5"/>
      <c r="B727" s="2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8.75" customHeight="1">
      <c r="A728" s="5"/>
      <c r="B728" s="2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8.75" customHeight="1">
      <c r="A729" s="5"/>
      <c r="B729" s="2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8.75" customHeight="1">
      <c r="A730" s="5"/>
      <c r="B730" s="2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8.75" customHeight="1">
      <c r="A731" s="5"/>
      <c r="B731" s="2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8.75" customHeight="1">
      <c r="A732" s="5"/>
      <c r="B732" s="2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8.75" customHeight="1">
      <c r="A733" s="5"/>
      <c r="B733" s="2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8.75" customHeight="1">
      <c r="A734" s="5"/>
      <c r="B734" s="2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8.75" customHeight="1">
      <c r="A735" s="5"/>
      <c r="B735" s="2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8.75" customHeight="1">
      <c r="A736" s="5"/>
      <c r="B736" s="2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8.75" customHeight="1">
      <c r="A737" s="5"/>
      <c r="B737" s="2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8.75" customHeight="1">
      <c r="A738" s="5"/>
      <c r="B738" s="2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8.75" customHeight="1">
      <c r="A739" s="5"/>
      <c r="B739" s="2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8.75" customHeight="1">
      <c r="A740" s="5"/>
      <c r="B740" s="2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8.75" customHeight="1">
      <c r="A741" s="5"/>
      <c r="B741" s="2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8.75" customHeight="1">
      <c r="A742" s="5"/>
      <c r="B742" s="2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8.75" customHeight="1">
      <c r="A743" s="5"/>
      <c r="B743" s="2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8.75" customHeight="1">
      <c r="A744" s="5"/>
      <c r="B744" s="2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8.75" customHeight="1">
      <c r="A745" s="5"/>
      <c r="B745" s="2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8.75" customHeight="1">
      <c r="A746" s="5"/>
      <c r="B746" s="2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8.75" customHeight="1">
      <c r="A747" s="5"/>
      <c r="B747" s="2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8.75" customHeight="1">
      <c r="A748" s="5"/>
      <c r="B748" s="2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8.75" customHeight="1">
      <c r="A749" s="5"/>
      <c r="B749" s="2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8.75" customHeight="1">
      <c r="A750" s="5"/>
      <c r="B750" s="2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8.75" customHeight="1">
      <c r="A751" s="5"/>
      <c r="B751" s="2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8.75" customHeight="1">
      <c r="A752" s="5"/>
      <c r="B752" s="2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8.75" customHeight="1">
      <c r="A753" s="5"/>
      <c r="B753" s="2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8.75" customHeight="1">
      <c r="A754" s="5"/>
      <c r="B754" s="2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8.75" customHeight="1">
      <c r="A755" s="5"/>
      <c r="B755" s="2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8.75" customHeight="1">
      <c r="A756" s="5"/>
      <c r="B756" s="2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8.75" customHeight="1">
      <c r="A757" s="5"/>
      <c r="B757" s="2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8.75" customHeight="1">
      <c r="A758" s="5"/>
      <c r="B758" s="2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8.75" customHeight="1">
      <c r="A759" s="5"/>
      <c r="B759" s="2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8.75" customHeight="1">
      <c r="A760" s="5"/>
      <c r="B760" s="2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8.75" customHeight="1">
      <c r="A761" s="5"/>
      <c r="B761" s="2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8.75" customHeight="1">
      <c r="A762" s="5"/>
      <c r="B762" s="2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8.75" customHeight="1">
      <c r="A763" s="5"/>
      <c r="B763" s="2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8.75" customHeight="1">
      <c r="A764" s="5"/>
      <c r="B764" s="2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8.75" customHeight="1">
      <c r="A765" s="5"/>
      <c r="B765" s="2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8.75" customHeight="1">
      <c r="A766" s="5"/>
      <c r="B766" s="2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8.75" customHeight="1">
      <c r="A767" s="5"/>
      <c r="B767" s="2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8.75" customHeight="1">
      <c r="A768" s="5"/>
      <c r="B768" s="2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8.75" customHeight="1">
      <c r="A769" s="5"/>
      <c r="B769" s="2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8.75" customHeight="1">
      <c r="A770" s="5"/>
      <c r="B770" s="2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8.75" customHeight="1">
      <c r="A771" s="5"/>
      <c r="B771" s="2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8.75" customHeight="1">
      <c r="A772" s="5"/>
      <c r="B772" s="2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8.75" customHeight="1">
      <c r="A773" s="5"/>
      <c r="B773" s="2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8.75" customHeight="1">
      <c r="A774" s="5"/>
      <c r="B774" s="2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8.75" customHeight="1">
      <c r="A775" s="5"/>
      <c r="B775" s="2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8.75" customHeight="1">
      <c r="A776" s="5"/>
      <c r="B776" s="2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8.75" customHeight="1">
      <c r="A777" s="5"/>
      <c r="B777" s="2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8.75" customHeight="1">
      <c r="A778" s="5"/>
      <c r="B778" s="2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8.75" customHeight="1">
      <c r="A779" s="5"/>
      <c r="B779" s="2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8.75" customHeight="1">
      <c r="A780" s="5"/>
      <c r="B780" s="2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8.75" customHeight="1">
      <c r="A781" s="5"/>
      <c r="B781" s="2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8.75" customHeight="1">
      <c r="A782" s="5"/>
      <c r="B782" s="2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8.75" customHeight="1">
      <c r="A783" s="5"/>
      <c r="B783" s="2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8.75" customHeight="1">
      <c r="A784" s="5"/>
      <c r="B784" s="2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8.75" customHeight="1">
      <c r="A785" s="5"/>
      <c r="B785" s="2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8.75" customHeight="1">
      <c r="A786" s="5"/>
      <c r="B786" s="2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8.75" customHeight="1">
      <c r="A787" s="5"/>
      <c r="B787" s="2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8.75" customHeight="1">
      <c r="A788" s="5"/>
      <c r="B788" s="2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8.75" customHeight="1">
      <c r="A789" s="5"/>
      <c r="B789" s="2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8.75" customHeight="1">
      <c r="A790" s="5"/>
      <c r="B790" s="2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8.75" customHeight="1">
      <c r="A791" s="5"/>
      <c r="B791" s="2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8.75" customHeight="1">
      <c r="A792" s="5"/>
      <c r="B792" s="2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8.75" customHeight="1">
      <c r="A793" s="5"/>
      <c r="B793" s="2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8.75" customHeight="1">
      <c r="A794" s="5"/>
      <c r="B794" s="2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8.75" customHeight="1">
      <c r="A795" s="5"/>
      <c r="B795" s="2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8.75" customHeight="1">
      <c r="A796" s="5"/>
      <c r="B796" s="2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8.75" customHeight="1">
      <c r="A797" s="5"/>
      <c r="B797" s="2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8.75" customHeight="1">
      <c r="A798" s="5"/>
      <c r="B798" s="2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8.75" customHeight="1">
      <c r="A799" s="5"/>
      <c r="B799" s="2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8.75" customHeight="1">
      <c r="A800" s="5"/>
      <c r="B800" s="2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8.75" customHeight="1">
      <c r="A801" s="5"/>
      <c r="B801" s="2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8.75" customHeight="1">
      <c r="A802" s="5"/>
      <c r="B802" s="2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8.75" customHeight="1">
      <c r="A803" s="5"/>
      <c r="B803" s="2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8.75" customHeight="1">
      <c r="A804" s="5"/>
      <c r="B804" s="2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8.75" customHeight="1">
      <c r="A805" s="5"/>
      <c r="B805" s="2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8.75" customHeight="1">
      <c r="A806" s="5"/>
      <c r="B806" s="2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8.75" customHeight="1">
      <c r="A807" s="5"/>
      <c r="B807" s="2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8.75" customHeight="1">
      <c r="A808" s="5"/>
      <c r="B808" s="2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8.75" customHeight="1">
      <c r="A809" s="5"/>
      <c r="B809" s="2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8.75" customHeight="1">
      <c r="A810" s="5"/>
      <c r="B810" s="2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8.75" customHeight="1">
      <c r="A811" s="5"/>
      <c r="B811" s="2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8.75" customHeight="1">
      <c r="A812" s="5"/>
      <c r="B812" s="2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8.75" customHeight="1">
      <c r="A813" s="5"/>
      <c r="B813" s="2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8.75" customHeight="1">
      <c r="A814" s="5"/>
      <c r="B814" s="2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8.75" customHeight="1">
      <c r="A815" s="5"/>
      <c r="B815" s="2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8.75" customHeight="1">
      <c r="A816" s="5"/>
      <c r="B816" s="2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8.75" customHeight="1">
      <c r="A817" s="5"/>
      <c r="B817" s="2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8.75" customHeight="1">
      <c r="A818" s="5"/>
      <c r="B818" s="2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8.75" customHeight="1">
      <c r="A819" s="5"/>
      <c r="B819" s="2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8.75" customHeight="1">
      <c r="A820" s="5"/>
      <c r="B820" s="2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8.75" customHeight="1">
      <c r="A821" s="5"/>
      <c r="B821" s="2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8.75" customHeight="1">
      <c r="A822" s="5"/>
      <c r="B822" s="2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8.75" customHeight="1">
      <c r="A823" s="5"/>
      <c r="B823" s="2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8.75" customHeight="1">
      <c r="A824" s="5"/>
      <c r="B824" s="2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8.75" customHeight="1">
      <c r="A825" s="5"/>
      <c r="B825" s="2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8.75" customHeight="1">
      <c r="A826" s="5"/>
      <c r="B826" s="2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8.75" customHeight="1">
      <c r="A827" s="5"/>
      <c r="B827" s="2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8.75" customHeight="1">
      <c r="A828" s="5"/>
      <c r="B828" s="2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8.75" customHeight="1">
      <c r="A829" s="5"/>
      <c r="B829" s="2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8.75" customHeight="1">
      <c r="A830" s="5"/>
      <c r="B830" s="2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8.75" customHeight="1">
      <c r="A831" s="5"/>
      <c r="B831" s="2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8.75" customHeight="1">
      <c r="A832" s="5"/>
      <c r="B832" s="2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8.75" customHeight="1">
      <c r="A833" s="5"/>
      <c r="B833" s="2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8.75" customHeight="1">
      <c r="A834" s="5"/>
      <c r="B834" s="2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8.75" customHeight="1">
      <c r="A835" s="5"/>
      <c r="B835" s="2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8.75" customHeight="1">
      <c r="A836" s="5"/>
      <c r="B836" s="2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8.75" customHeight="1">
      <c r="A837" s="5"/>
      <c r="B837" s="2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8.75" customHeight="1">
      <c r="A838" s="5"/>
      <c r="B838" s="2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8.75" customHeight="1">
      <c r="A839" s="5"/>
      <c r="B839" s="2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8.75" customHeight="1">
      <c r="A840" s="5"/>
      <c r="B840" s="2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8.75" customHeight="1">
      <c r="A841" s="5"/>
      <c r="B841" s="2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8.75" customHeight="1">
      <c r="A842" s="5"/>
      <c r="B842" s="2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8.75" customHeight="1">
      <c r="A843" s="5"/>
      <c r="B843" s="2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8.75" customHeight="1">
      <c r="A844" s="5"/>
      <c r="B844" s="2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8.75" customHeight="1">
      <c r="A845" s="5"/>
      <c r="B845" s="2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8.75" customHeight="1">
      <c r="A846" s="5"/>
      <c r="B846" s="2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8.75" customHeight="1">
      <c r="A847" s="5"/>
      <c r="B847" s="2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8.75" customHeight="1">
      <c r="A848" s="5"/>
      <c r="B848" s="2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8.75" customHeight="1">
      <c r="A849" s="5"/>
      <c r="B849" s="2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8.75" customHeight="1">
      <c r="A850" s="5"/>
      <c r="B850" s="2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8.75" customHeight="1">
      <c r="A851" s="5"/>
      <c r="B851" s="2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8.75" customHeight="1">
      <c r="A852" s="5"/>
      <c r="B852" s="2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8.75" customHeight="1">
      <c r="A853" s="5"/>
      <c r="B853" s="2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8.75" customHeight="1">
      <c r="A854" s="5"/>
      <c r="B854" s="2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8.75" customHeight="1">
      <c r="A855" s="5"/>
      <c r="B855" s="2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8.75" customHeight="1">
      <c r="A856" s="5"/>
      <c r="B856" s="2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8.75" customHeight="1">
      <c r="A857" s="5"/>
      <c r="B857" s="2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8.75" customHeight="1">
      <c r="A858" s="5"/>
      <c r="B858" s="2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8.75" customHeight="1">
      <c r="A859" s="5"/>
      <c r="B859" s="2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8.75" customHeight="1">
      <c r="A860" s="5"/>
      <c r="B860" s="2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8.75" customHeight="1">
      <c r="A861" s="5"/>
      <c r="B861" s="2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8.75" customHeight="1">
      <c r="A862" s="5"/>
      <c r="B862" s="2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8.75" customHeight="1">
      <c r="A863" s="5"/>
      <c r="B863" s="2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8.75" customHeight="1">
      <c r="A864" s="5"/>
      <c r="B864" s="2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8.75" customHeight="1">
      <c r="A865" s="5"/>
      <c r="B865" s="2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8.75" customHeight="1">
      <c r="A866" s="5"/>
      <c r="B866" s="2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8.75" customHeight="1">
      <c r="A867" s="5"/>
      <c r="B867" s="2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8.75" customHeight="1">
      <c r="A868" s="5"/>
      <c r="B868" s="2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8.75" customHeight="1">
      <c r="A869" s="5"/>
      <c r="B869" s="2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8.75" customHeight="1">
      <c r="A870" s="5"/>
      <c r="B870" s="2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8.75" customHeight="1">
      <c r="A871" s="5"/>
      <c r="B871" s="2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8.75" customHeight="1">
      <c r="A872" s="5"/>
      <c r="B872" s="2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8.75" customHeight="1">
      <c r="A873" s="5"/>
      <c r="B873" s="2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8.75" customHeight="1">
      <c r="A874" s="5"/>
      <c r="B874" s="2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8.75" customHeight="1">
      <c r="A875" s="5"/>
      <c r="B875" s="2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8.75" customHeight="1">
      <c r="A876" s="5"/>
      <c r="B876" s="2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8.75" customHeight="1">
      <c r="A877" s="5"/>
      <c r="B877" s="2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8.75" customHeight="1">
      <c r="A878" s="5"/>
      <c r="B878" s="2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8.75" customHeight="1">
      <c r="A879" s="5"/>
      <c r="B879" s="2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8.75" customHeight="1">
      <c r="A880" s="5"/>
      <c r="B880" s="2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8.75" customHeight="1">
      <c r="A881" s="5"/>
      <c r="B881" s="2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8.75" customHeight="1">
      <c r="A882" s="5"/>
      <c r="B882" s="2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8.75" customHeight="1">
      <c r="A883" s="5"/>
      <c r="B883" s="2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8.75" customHeight="1">
      <c r="A884" s="5"/>
      <c r="B884" s="2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8.75" customHeight="1">
      <c r="A885" s="5"/>
      <c r="B885" s="2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8.75" customHeight="1">
      <c r="A886" s="5"/>
      <c r="B886" s="2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8.75" customHeight="1">
      <c r="A887" s="5"/>
      <c r="B887" s="2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8.75" customHeight="1">
      <c r="A888" s="5"/>
      <c r="B888" s="2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8.75" customHeight="1">
      <c r="A889" s="5"/>
      <c r="B889" s="2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8.75" customHeight="1">
      <c r="A890" s="5"/>
      <c r="B890" s="2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8.75" customHeight="1">
      <c r="A891" s="5"/>
      <c r="B891" s="2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8.75" customHeight="1">
      <c r="A892" s="5"/>
      <c r="B892" s="2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8.75" customHeight="1">
      <c r="A893" s="5"/>
      <c r="B893" s="2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8.75" customHeight="1">
      <c r="A894" s="5"/>
      <c r="B894" s="2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8.75" customHeight="1">
      <c r="A895" s="5"/>
      <c r="B895" s="2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8.75" customHeight="1">
      <c r="A896" s="5"/>
      <c r="B896" s="2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8.75" customHeight="1">
      <c r="A897" s="5"/>
      <c r="B897" s="2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8.75" customHeight="1">
      <c r="A898" s="5"/>
      <c r="B898" s="2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8.75" customHeight="1">
      <c r="A899" s="5"/>
      <c r="B899" s="2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8.75" customHeight="1">
      <c r="A900" s="5"/>
      <c r="B900" s="2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8.75" customHeight="1">
      <c r="A901" s="5"/>
      <c r="B901" s="2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8.75" customHeight="1">
      <c r="A902" s="5"/>
      <c r="B902" s="2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8.75" customHeight="1">
      <c r="A903" s="5"/>
      <c r="B903" s="2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8.75" customHeight="1">
      <c r="A904" s="5"/>
      <c r="B904" s="2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8.75" customHeight="1">
      <c r="A905" s="5"/>
      <c r="B905" s="2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8.75" customHeight="1">
      <c r="A906" s="5"/>
      <c r="B906" s="2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8.75" customHeight="1">
      <c r="A907" s="5"/>
      <c r="B907" s="2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8.75" customHeight="1">
      <c r="A908" s="5"/>
      <c r="B908" s="2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8.75" customHeight="1">
      <c r="A909" s="5"/>
      <c r="B909" s="2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8.75" customHeight="1">
      <c r="A910" s="5"/>
      <c r="B910" s="2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8.75" customHeight="1">
      <c r="A911" s="5"/>
      <c r="B911" s="2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8.75" customHeight="1">
      <c r="A912" s="5"/>
      <c r="B912" s="2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8.75" customHeight="1">
      <c r="A913" s="5"/>
      <c r="B913" s="2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8.75" customHeight="1">
      <c r="A914" s="5"/>
      <c r="B914" s="2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8.75" customHeight="1">
      <c r="A915" s="5"/>
      <c r="B915" s="2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8.75" customHeight="1">
      <c r="A916" s="5"/>
      <c r="B916" s="2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8.75" customHeight="1">
      <c r="A917" s="5"/>
      <c r="B917" s="2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8.75" customHeight="1">
      <c r="A918" s="5"/>
      <c r="B918" s="2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8.75" customHeight="1">
      <c r="A919" s="5"/>
      <c r="B919" s="2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8.75" customHeight="1">
      <c r="A920" s="5"/>
      <c r="B920" s="2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8.75" customHeight="1">
      <c r="A921" s="5"/>
      <c r="B921" s="2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8.75" customHeight="1">
      <c r="A922" s="5"/>
      <c r="B922" s="2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8.75" customHeight="1">
      <c r="A923" s="5"/>
      <c r="B923" s="2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8.75" customHeight="1">
      <c r="A924" s="5"/>
      <c r="B924" s="2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8.75" customHeight="1">
      <c r="A925" s="5"/>
      <c r="B925" s="2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8.75" customHeight="1">
      <c r="A926" s="5"/>
      <c r="B926" s="2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8.75" customHeight="1">
      <c r="A927" s="5"/>
      <c r="B927" s="2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8.75" customHeight="1">
      <c r="A928" s="5"/>
      <c r="B928" s="2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8.75" customHeight="1">
      <c r="A929" s="5"/>
      <c r="B929" s="2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8.75" customHeight="1">
      <c r="A930" s="5"/>
      <c r="B930" s="2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8.75" customHeight="1">
      <c r="A931" s="5"/>
      <c r="B931" s="2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8.75" customHeight="1">
      <c r="A932" s="5"/>
      <c r="B932" s="2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8.75" customHeight="1">
      <c r="A933" s="5"/>
      <c r="B933" s="2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8.75" customHeight="1">
      <c r="A934" s="5"/>
      <c r="B934" s="2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8.75" customHeight="1">
      <c r="A935" s="5"/>
      <c r="B935" s="2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8.75" customHeight="1">
      <c r="A936" s="5"/>
      <c r="B936" s="2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8.75" customHeight="1">
      <c r="A937" s="5"/>
      <c r="B937" s="2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8.75" customHeight="1">
      <c r="A938" s="5"/>
      <c r="B938" s="2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8.75" customHeight="1">
      <c r="A939" s="5"/>
      <c r="B939" s="2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8.75" customHeight="1">
      <c r="A940" s="5"/>
      <c r="B940" s="2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8.75" customHeight="1">
      <c r="A941" s="5"/>
      <c r="B941" s="2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8.75" customHeight="1">
      <c r="A942" s="5"/>
      <c r="B942" s="2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8.75" customHeight="1">
      <c r="A943" s="5"/>
      <c r="B943" s="2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8.75" customHeight="1">
      <c r="A944" s="5"/>
      <c r="B944" s="2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8.75" customHeight="1">
      <c r="A945" s="5"/>
      <c r="B945" s="2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8.75" customHeight="1">
      <c r="A946" s="5"/>
      <c r="B946" s="2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8.75" customHeight="1">
      <c r="A947" s="5"/>
      <c r="B947" s="2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8.75" customHeight="1">
      <c r="A948" s="5"/>
      <c r="B948" s="2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8.75" customHeight="1">
      <c r="A949" s="5"/>
      <c r="B949" s="2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8.75" customHeight="1">
      <c r="A950" s="5"/>
      <c r="B950" s="2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8.75" customHeight="1">
      <c r="A951" s="5"/>
      <c r="B951" s="2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8.75" customHeight="1">
      <c r="A952" s="5"/>
      <c r="B952" s="2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8.75" customHeight="1">
      <c r="A953" s="5"/>
      <c r="B953" s="2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8.75" customHeight="1">
      <c r="A954" s="5"/>
      <c r="B954" s="2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8.75" customHeight="1">
      <c r="A955" s="5"/>
      <c r="B955" s="2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8.75" customHeight="1">
      <c r="A956" s="5"/>
      <c r="B956" s="2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8.75" customHeight="1">
      <c r="A957" s="5"/>
      <c r="B957" s="2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8.75" customHeight="1">
      <c r="A958" s="5"/>
      <c r="B958" s="2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8.75" customHeight="1">
      <c r="A959" s="5"/>
      <c r="B959" s="2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8.75" customHeight="1">
      <c r="A960" s="5"/>
      <c r="B960" s="2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8.75" customHeight="1">
      <c r="A961" s="5"/>
      <c r="B961" s="2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8.75" customHeight="1">
      <c r="A962" s="5"/>
      <c r="B962" s="2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8.75" customHeight="1">
      <c r="A963" s="5"/>
      <c r="B963" s="2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8.75" customHeight="1">
      <c r="A964" s="5"/>
      <c r="B964" s="2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8.75" customHeight="1">
      <c r="A965" s="5"/>
      <c r="B965" s="2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8.75" customHeight="1">
      <c r="A966" s="5"/>
      <c r="B966" s="2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8.75" customHeight="1">
      <c r="A967" s="5"/>
      <c r="B967" s="2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8.75" customHeight="1">
      <c r="A968" s="5"/>
      <c r="B968" s="2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8.75" customHeight="1">
      <c r="A969" s="5"/>
      <c r="B969" s="2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8.75" customHeight="1">
      <c r="A970" s="5"/>
      <c r="B970" s="2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8.75" customHeight="1">
      <c r="A971" s="5"/>
      <c r="B971" s="2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8.75" customHeight="1">
      <c r="A972" s="5"/>
      <c r="B972" s="2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8.75" customHeight="1">
      <c r="A973" s="5"/>
      <c r="B973" s="2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8.75" customHeight="1">
      <c r="A974" s="5"/>
      <c r="B974" s="2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8.75" customHeight="1">
      <c r="A975" s="5"/>
      <c r="B975" s="2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8.75" customHeight="1">
      <c r="A976" s="5"/>
      <c r="B976" s="2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8.75" customHeight="1">
      <c r="A977" s="5"/>
      <c r="B977" s="2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8.75" customHeight="1">
      <c r="A978" s="5"/>
      <c r="B978" s="2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8.75" customHeight="1">
      <c r="A979" s="5"/>
      <c r="B979" s="2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8.75" customHeight="1">
      <c r="A980" s="5"/>
      <c r="B980" s="2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8.75" customHeight="1">
      <c r="A981" s="5"/>
      <c r="B981" s="2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8.75" customHeight="1">
      <c r="A982" s="5"/>
      <c r="B982" s="2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8.75" customHeight="1">
      <c r="A983" s="5"/>
      <c r="B983" s="2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8.75" customHeight="1">
      <c r="A984" s="5"/>
      <c r="B984" s="2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8.75" customHeight="1">
      <c r="A985" s="5"/>
      <c r="B985" s="2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8.75" customHeight="1">
      <c r="A986" s="5"/>
      <c r="B986" s="2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8.75" customHeight="1">
      <c r="A987" s="5"/>
      <c r="B987" s="2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8.75" customHeight="1">
      <c r="A988" s="5"/>
      <c r="B988" s="2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8.75" customHeight="1">
      <c r="A989" s="5"/>
      <c r="B989" s="2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8.75" customHeight="1">
      <c r="A990" s="5"/>
      <c r="B990" s="2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8.75" customHeight="1">
      <c r="A991" s="5"/>
      <c r="B991" s="2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8.75" customHeight="1">
      <c r="A992" s="5"/>
      <c r="B992" s="2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8.75" customHeight="1">
      <c r="A993" s="5"/>
      <c r="B993" s="2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8.75" customHeight="1">
      <c r="A994" s="5"/>
      <c r="B994" s="2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8.75" customHeight="1">
      <c r="A995" s="5"/>
      <c r="B995" s="2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8.75" customHeight="1">
      <c r="A996" s="5"/>
      <c r="B996" s="2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8.75" customHeight="1">
      <c r="A997" s="5"/>
      <c r="B997" s="2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8.75" customHeight="1">
      <c r="A998" s="5"/>
      <c r="B998" s="2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8.75" customHeight="1">
      <c r="A999" s="5"/>
      <c r="B999" s="2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8.75" customHeight="1">
      <c r="A1000" s="5"/>
      <c r="B1000" s="2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13:B13"/>
    <mergeCell ref="A14:B14"/>
    <mergeCell ref="A15:B15"/>
    <mergeCell ref="K21:L21"/>
  </mergeCells>
  <phoneticPr fontId="8" type="noConversion"/>
  <conditionalFormatting sqref="C15:Z15">
    <cfRule type="cellIs" dxfId="0" priority="1" operator="greaterThanOrEqual">
      <formula>25</formula>
    </cfRule>
  </conditionalFormatting>
  <dataValidations count="9">
    <dataValidation type="list" allowBlank="1" showErrorMessage="1" sqref="B9">
      <formula1>衣服名冊</formula1>
    </dataValidation>
    <dataValidation type="list" allowBlank="1" showErrorMessage="1" sqref="B11">
      <formula1>鞋子名冊</formula1>
    </dataValidation>
    <dataValidation type="list" allowBlank="1" showErrorMessage="1" sqref="B10">
      <formula1>手套名冊</formula1>
    </dataValidation>
    <dataValidation type="list" allowBlank="1" showErrorMessage="1" sqref="B6">
      <formula1>主武名冊</formula1>
    </dataValidation>
    <dataValidation type="list" allowBlank="1" showErrorMessage="1" sqref="B2:B3">
      <formula1>飾品名冊</formula1>
    </dataValidation>
    <dataValidation type="list" allowBlank="1" showErrorMessage="1" sqref="B4:B5">
      <formula1>寶物名冊</formula1>
    </dataValidation>
    <dataValidation type="list" allowBlank="1" showErrorMessage="1" sqref="B7">
      <formula1>副武名冊</formula1>
    </dataValidation>
    <dataValidation type="list" allowBlank="1" showErrorMessage="1" sqref="B8">
      <formula1>頭盔名冊</formula1>
    </dataValidation>
    <dataValidation type="list" allowBlank="1" showErrorMessage="1" sqref="B12">
      <formula1>職業名冊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10"/>
  <sheetViews>
    <sheetView tabSelected="1" topLeftCell="A160" workbookViewId="0">
      <selection activeCell="G176" sqref="G176"/>
    </sheetView>
  </sheetViews>
  <sheetFormatPr defaultColWidth="14.44140625" defaultRowHeight="15" customHeight="1"/>
  <cols>
    <col min="1" max="1" width="8.6640625" customWidth="1"/>
    <col min="2" max="2" width="21.5546875" customWidth="1"/>
    <col min="3" max="3" width="5.5546875" bestFit="1" customWidth="1"/>
    <col min="4" max="4" width="8.6640625" customWidth="1"/>
    <col min="5" max="6" width="5.5546875" bestFit="1" customWidth="1"/>
    <col min="7" max="7" width="7.5546875" bestFit="1" customWidth="1"/>
    <col min="8" max="26" width="5.5546875" bestFit="1" customWidth="1"/>
  </cols>
  <sheetData>
    <row r="1" spans="1:26" ht="15.75" customHeight="1">
      <c r="A1" s="30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  <c r="Q1" s="31" t="s">
        <v>16</v>
      </c>
      <c r="R1" s="31" t="s">
        <v>17</v>
      </c>
      <c r="S1" s="31" t="s">
        <v>18</v>
      </c>
      <c r="T1" s="31" t="s">
        <v>19</v>
      </c>
      <c r="U1" s="31" t="s">
        <v>20</v>
      </c>
      <c r="V1" s="31" t="s">
        <v>21</v>
      </c>
      <c r="W1" s="31" t="s">
        <v>22</v>
      </c>
      <c r="X1" s="31" t="s">
        <v>23</v>
      </c>
      <c r="Y1" s="31" t="s">
        <v>24</v>
      </c>
      <c r="Z1" s="31" t="s">
        <v>25</v>
      </c>
    </row>
    <row r="2" spans="1:26" ht="15.75" customHeight="1">
      <c r="A2" s="31" t="s">
        <v>26</v>
      </c>
      <c r="B2" s="31" t="s">
        <v>48</v>
      </c>
      <c r="D2" s="31">
        <v>1</v>
      </c>
      <c r="E2" s="31">
        <v>1</v>
      </c>
      <c r="H2" s="31">
        <v>1</v>
      </c>
    </row>
    <row r="3" spans="1:26" ht="15.75" customHeight="1">
      <c r="A3" s="31" t="s">
        <v>26</v>
      </c>
      <c r="B3" s="32" t="s">
        <v>118</v>
      </c>
      <c r="D3" s="31">
        <v>2</v>
      </c>
      <c r="E3" s="31">
        <v>1</v>
      </c>
      <c r="H3" s="31">
        <v>1</v>
      </c>
    </row>
    <row r="4" spans="1:26" ht="15.75" customHeight="1">
      <c r="A4" s="31" t="s">
        <v>26</v>
      </c>
      <c r="B4" s="31" t="s">
        <v>52</v>
      </c>
      <c r="C4" s="31">
        <v>1</v>
      </c>
      <c r="H4" s="31">
        <v>1</v>
      </c>
      <c r="I4" s="31">
        <v>1</v>
      </c>
    </row>
    <row r="5" spans="1:26" ht="15.75" customHeight="1">
      <c r="A5" s="31" t="s">
        <v>26</v>
      </c>
      <c r="B5" s="31" t="s">
        <v>53</v>
      </c>
      <c r="C5" s="31">
        <v>1</v>
      </c>
      <c r="H5" s="31">
        <v>1</v>
      </c>
      <c r="I5" s="31">
        <v>2</v>
      </c>
    </row>
    <row r="6" spans="1:26" ht="15.75" customHeight="1">
      <c r="A6" s="31" t="s">
        <v>26</v>
      </c>
      <c r="B6" s="31" t="s">
        <v>54</v>
      </c>
      <c r="D6" s="31">
        <v>1</v>
      </c>
      <c r="I6" s="31">
        <v>1</v>
      </c>
      <c r="K6" s="31">
        <v>1</v>
      </c>
    </row>
    <row r="7" spans="1:26" ht="15.75" customHeight="1">
      <c r="A7" s="31" t="s">
        <v>26</v>
      </c>
      <c r="B7" s="31" t="s">
        <v>55</v>
      </c>
      <c r="F7" s="31">
        <v>1</v>
      </c>
      <c r="J7" s="31">
        <v>1</v>
      </c>
      <c r="K7" s="31">
        <v>1</v>
      </c>
    </row>
    <row r="8" spans="1:26" ht="15.75" customHeight="1">
      <c r="A8" s="31" t="s">
        <v>26</v>
      </c>
      <c r="B8" s="31" t="s">
        <v>56</v>
      </c>
      <c r="Q8" s="31">
        <v>1</v>
      </c>
      <c r="T8" s="31">
        <v>2</v>
      </c>
      <c r="V8" s="31">
        <v>1</v>
      </c>
    </row>
    <row r="9" spans="1:26" ht="15.75" customHeight="1">
      <c r="A9" s="31" t="s">
        <v>26</v>
      </c>
      <c r="B9" s="32" t="s">
        <v>119</v>
      </c>
      <c r="K9" s="31">
        <v>1</v>
      </c>
      <c r="N9" s="31">
        <v>1</v>
      </c>
      <c r="O9" s="31">
        <v>1</v>
      </c>
    </row>
    <row r="10" spans="1:26" ht="15.75" customHeight="1">
      <c r="A10" s="31" t="s">
        <v>26</v>
      </c>
      <c r="B10" s="32" t="s">
        <v>120</v>
      </c>
      <c r="K10" s="31">
        <v>1</v>
      </c>
      <c r="L10">
        <v>1</v>
      </c>
      <c r="N10" s="31">
        <v>1</v>
      </c>
      <c r="O10" s="31">
        <v>1</v>
      </c>
    </row>
    <row r="11" spans="1:26" ht="15.75" customHeight="1">
      <c r="A11" s="31" t="s">
        <v>26</v>
      </c>
      <c r="B11" s="31" t="s">
        <v>57</v>
      </c>
      <c r="T11" s="31">
        <v>1</v>
      </c>
      <c r="U11" s="31">
        <v>1</v>
      </c>
      <c r="Z11" s="31">
        <v>1</v>
      </c>
    </row>
    <row r="12" spans="1:26" ht="15.75" customHeight="1"/>
    <row r="13" spans="1:26" ht="15.75" customHeight="1"/>
    <row r="14" spans="1:26" ht="15.75" customHeight="1"/>
    <row r="15" spans="1:26" ht="15.75" customHeight="1"/>
    <row r="16" spans="1:26" ht="15.75" customHeight="1"/>
    <row r="17" spans="1:26" ht="15.75" customHeight="1"/>
    <row r="18" spans="1:26" ht="15.75" customHeight="1"/>
    <row r="19" spans="1:26" ht="15.75" customHeight="1"/>
    <row r="20" spans="1:26" ht="15.75" customHeight="1"/>
    <row r="21" spans="1:26" ht="15.75" customHeight="1">
      <c r="A21" s="30" t="s">
        <v>0</v>
      </c>
      <c r="B21" s="31" t="s">
        <v>1</v>
      </c>
      <c r="C21" s="31" t="s">
        <v>2</v>
      </c>
      <c r="D21" s="31" t="s">
        <v>3</v>
      </c>
      <c r="E21" s="31" t="s">
        <v>4</v>
      </c>
      <c r="F21" s="31" t="s">
        <v>5</v>
      </c>
      <c r="G21" s="31" t="s">
        <v>6</v>
      </c>
      <c r="H21" s="31" t="s">
        <v>7</v>
      </c>
      <c r="I21" s="31" t="s">
        <v>8</v>
      </c>
      <c r="J21" s="31" t="s">
        <v>9</v>
      </c>
      <c r="K21" s="31" t="s">
        <v>10</v>
      </c>
      <c r="L21" s="31" t="s">
        <v>11</v>
      </c>
      <c r="M21" s="31" t="s">
        <v>12</v>
      </c>
      <c r="N21" s="31" t="s">
        <v>13</v>
      </c>
      <c r="O21" s="31" t="s">
        <v>14</v>
      </c>
      <c r="P21" s="31" t="s">
        <v>15</v>
      </c>
      <c r="Q21" s="31" t="s">
        <v>16</v>
      </c>
      <c r="R21" s="31" t="s">
        <v>17</v>
      </c>
      <c r="S21" s="31" t="s">
        <v>18</v>
      </c>
      <c r="T21" s="31" t="s">
        <v>19</v>
      </c>
      <c r="U21" s="31" t="s">
        <v>20</v>
      </c>
      <c r="V21" s="31" t="s">
        <v>21</v>
      </c>
      <c r="W21" s="31" t="s">
        <v>22</v>
      </c>
      <c r="X21" s="31" t="s">
        <v>23</v>
      </c>
      <c r="Y21" s="31" t="s">
        <v>24</v>
      </c>
      <c r="Z21" s="31" t="s">
        <v>25</v>
      </c>
    </row>
    <row r="22" spans="1:26" ht="15.75" customHeight="1">
      <c r="A22" s="31" t="s">
        <v>28</v>
      </c>
      <c r="B22" s="32" t="s">
        <v>116</v>
      </c>
      <c r="C22" s="31">
        <v>2</v>
      </c>
      <c r="F22" s="31">
        <v>1</v>
      </c>
      <c r="G22" s="31">
        <v>1</v>
      </c>
      <c r="H22" s="33">
        <v>1</v>
      </c>
    </row>
    <row r="23" spans="1:26" ht="15.75" customHeight="1">
      <c r="A23" s="31" t="s">
        <v>28</v>
      </c>
      <c r="B23" s="31" t="s">
        <v>29</v>
      </c>
      <c r="C23" s="31">
        <v>2</v>
      </c>
      <c r="F23" s="31">
        <v>1</v>
      </c>
      <c r="G23" s="31">
        <v>1</v>
      </c>
    </row>
    <row r="24" spans="1:26" ht="15.75" customHeight="1">
      <c r="A24" s="31" t="s">
        <v>28</v>
      </c>
      <c r="B24" s="31" t="s">
        <v>58</v>
      </c>
      <c r="H24" s="31">
        <v>1</v>
      </c>
      <c r="K24" s="31">
        <v>1</v>
      </c>
    </row>
    <row r="25" spans="1:26" ht="15.75" customHeight="1">
      <c r="A25" s="31" t="s">
        <v>28</v>
      </c>
      <c r="B25" s="31" t="s">
        <v>59</v>
      </c>
      <c r="C25" s="31">
        <v>1</v>
      </c>
      <c r="I25" s="31">
        <v>1</v>
      </c>
    </row>
    <row r="26" spans="1:26" ht="15.75" customHeight="1">
      <c r="A26" s="31" t="s">
        <v>28</v>
      </c>
      <c r="B26" s="31" t="s">
        <v>60</v>
      </c>
      <c r="J26" s="31">
        <v>2</v>
      </c>
      <c r="M26" s="31">
        <v>2</v>
      </c>
    </row>
    <row r="27" spans="1:26" ht="15.75" customHeight="1">
      <c r="A27" s="31" t="s">
        <v>28</v>
      </c>
      <c r="B27" s="32" t="s">
        <v>117</v>
      </c>
      <c r="M27" s="31">
        <v>1</v>
      </c>
      <c r="Q27" s="31">
        <v>2</v>
      </c>
      <c r="R27" s="31">
        <v>1</v>
      </c>
      <c r="S27" s="33">
        <v>1</v>
      </c>
    </row>
    <row r="28" spans="1:26" ht="15.75" customHeight="1">
      <c r="A28" s="31" t="s">
        <v>28</v>
      </c>
      <c r="B28" s="31" t="s">
        <v>61</v>
      </c>
      <c r="M28" s="31">
        <v>1</v>
      </c>
      <c r="Q28" s="31">
        <v>2</v>
      </c>
      <c r="R28" s="31">
        <v>1</v>
      </c>
    </row>
    <row r="29" spans="1:26" ht="15.75" customHeight="1">
      <c r="A29" s="31" t="s">
        <v>28</v>
      </c>
      <c r="B29" s="31" t="s">
        <v>62</v>
      </c>
      <c r="P29" s="31">
        <v>1</v>
      </c>
      <c r="R29" s="31">
        <v>1</v>
      </c>
      <c r="S29" s="31">
        <v>1</v>
      </c>
    </row>
    <row r="30" spans="1:26" ht="15.75" customHeight="1">
      <c r="A30" s="31" t="s">
        <v>28</v>
      </c>
      <c r="B30" s="31" t="s">
        <v>63</v>
      </c>
      <c r="K30" s="31">
        <v>1</v>
      </c>
      <c r="Q30" s="31">
        <v>1</v>
      </c>
    </row>
    <row r="31" spans="1:26" ht="15.75" customHeight="1">
      <c r="A31" s="31" t="s">
        <v>28</v>
      </c>
      <c r="B31" s="31" t="s">
        <v>64</v>
      </c>
      <c r="U31" s="31">
        <v>2</v>
      </c>
      <c r="V31" s="31">
        <v>2</v>
      </c>
    </row>
    <row r="32" spans="1:26" ht="15.75" customHeight="1"/>
    <row r="33" spans="1:26" ht="15.75" customHeight="1"/>
    <row r="34" spans="1:26" ht="15.75" customHeight="1"/>
    <row r="35" spans="1:26" ht="15.75" customHeight="1"/>
    <row r="36" spans="1:26" ht="15.75" customHeight="1"/>
    <row r="37" spans="1:26" ht="15.75" customHeight="1"/>
    <row r="38" spans="1:26" ht="15.75" customHeight="1"/>
    <row r="39" spans="1:26" ht="15.75" customHeight="1"/>
    <row r="40" spans="1:26" ht="15.75" customHeight="1"/>
    <row r="41" spans="1:26" ht="15.75" customHeight="1"/>
    <row r="42" spans="1:26" ht="15.75" customHeight="1">
      <c r="A42" s="30"/>
    </row>
    <row r="43" spans="1:26" ht="15.75" customHeight="1">
      <c r="A43" s="30" t="s">
        <v>0</v>
      </c>
      <c r="B43" s="31" t="s">
        <v>1</v>
      </c>
      <c r="C43" s="31" t="s">
        <v>2</v>
      </c>
      <c r="D43" s="31" t="s">
        <v>3</v>
      </c>
      <c r="E43" s="31" t="s">
        <v>4</v>
      </c>
      <c r="F43" s="31" t="s">
        <v>5</v>
      </c>
      <c r="G43" s="31" t="s">
        <v>6</v>
      </c>
      <c r="H43" s="31" t="s">
        <v>7</v>
      </c>
      <c r="I43" s="31" t="s">
        <v>8</v>
      </c>
      <c r="J43" s="31" t="s">
        <v>9</v>
      </c>
      <c r="K43" s="31" t="s">
        <v>10</v>
      </c>
      <c r="L43" s="31" t="s">
        <v>11</v>
      </c>
      <c r="M43" s="31" t="s">
        <v>12</v>
      </c>
      <c r="N43" s="31" t="s">
        <v>13</v>
      </c>
      <c r="O43" s="31" t="s">
        <v>14</v>
      </c>
      <c r="P43" s="31" t="s">
        <v>15</v>
      </c>
      <c r="Q43" s="31" t="s">
        <v>16</v>
      </c>
      <c r="R43" s="31" t="s">
        <v>17</v>
      </c>
      <c r="S43" s="31" t="s">
        <v>18</v>
      </c>
      <c r="T43" s="31" t="s">
        <v>19</v>
      </c>
      <c r="U43" s="31" t="s">
        <v>20</v>
      </c>
      <c r="V43" s="31" t="s">
        <v>21</v>
      </c>
      <c r="W43" s="31" t="s">
        <v>22</v>
      </c>
      <c r="X43" s="31" t="s">
        <v>23</v>
      </c>
      <c r="Y43" s="31" t="s">
        <v>24</v>
      </c>
      <c r="Z43" s="31" t="s">
        <v>25</v>
      </c>
    </row>
    <row r="44" spans="1:26" ht="15.75" customHeight="1">
      <c r="A44" s="31" t="s">
        <v>30</v>
      </c>
      <c r="B44" s="31" t="s">
        <v>49</v>
      </c>
      <c r="D44" s="31">
        <v>3</v>
      </c>
      <c r="F44" s="31">
        <v>2</v>
      </c>
      <c r="G44" s="31">
        <v>3</v>
      </c>
    </row>
    <row r="45" spans="1:26" ht="15.75" customHeight="1">
      <c r="A45" s="31" t="s">
        <v>30</v>
      </c>
      <c r="B45" s="31" t="s">
        <v>31</v>
      </c>
      <c r="D45" s="31">
        <v>2</v>
      </c>
      <c r="H45" s="31">
        <v>1</v>
      </c>
    </row>
    <row r="46" spans="1:26" ht="15.75" customHeight="1">
      <c r="A46" s="31" t="s">
        <v>30</v>
      </c>
      <c r="B46" s="31" t="s">
        <v>65</v>
      </c>
      <c r="D46" s="31">
        <v>3</v>
      </c>
      <c r="I46" s="31">
        <v>3</v>
      </c>
      <c r="K46" s="31">
        <v>2</v>
      </c>
    </row>
    <row r="47" spans="1:26" ht="15.75" customHeight="1">
      <c r="A47" s="31" t="s">
        <v>30</v>
      </c>
      <c r="B47" s="32" t="s">
        <v>108</v>
      </c>
      <c r="P47" s="31">
        <v>3</v>
      </c>
      <c r="Q47" s="31">
        <v>3</v>
      </c>
      <c r="V47" s="33">
        <v>3</v>
      </c>
    </row>
    <row r="48" spans="1:26" ht="15.75" customHeight="1">
      <c r="A48" s="31" t="s">
        <v>30</v>
      </c>
      <c r="B48" s="31" t="s">
        <v>66</v>
      </c>
      <c r="P48" s="31">
        <v>3</v>
      </c>
      <c r="Q48" s="31">
        <v>3</v>
      </c>
      <c r="V48" s="31">
        <v>2</v>
      </c>
    </row>
    <row r="49" spans="1:26" ht="15.75" customHeight="1">
      <c r="A49" s="31" t="s">
        <v>30</v>
      </c>
      <c r="B49" s="32" t="s">
        <v>107</v>
      </c>
      <c r="O49" s="31">
        <v>2</v>
      </c>
      <c r="P49" s="31">
        <v>2</v>
      </c>
      <c r="Q49" s="31">
        <v>2</v>
      </c>
      <c r="X49" s="31">
        <v>2</v>
      </c>
    </row>
    <row r="50" spans="1:26" ht="15.75" customHeight="1">
      <c r="A50" s="31" t="s">
        <v>30</v>
      </c>
      <c r="B50" s="31" t="s">
        <v>67</v>
      </c>
      <c r="K50" s="31">
        <v>2</v>
      </c>
      <c r="S50" s="31">
        <v>3</v>
      </c>
      <c r="U50" s="31">
        <v>3</v>
      </c>
    </row>
    <row r="51" spans="1:26" ht="15.75" customHeight="1">
      <c r="A51" s="31" t="s">
        <v>30</v>
      </c>
      <c r="B51" s="31" t="s">
        <v>68</v>
      </c>
      <c r="K51" s="31">
        <v>2</v>
      </c>
      <c r="P51" s="31">
        <v>3</v>
      </c>
      <c r="R51" s="31">
        <v>3</v>
      </c>
    </row>
    <row r="52" spans="1:26" ht="15.75" customHeight="1">
      <c r="A52" s="31" t="s">
        <v>30</v>
      </c>
      <c r="B52" s="31" t="s">
        <v>69</v>
      </c>
      <c r="K52" s="31">
        <v>2</v>
      </c>
      <c r="P52" s="31">
        <v>3</v>
      </c>
      <c r="R52" s="31">
        <v>3</v>
      </c>
    </row>
    <row r="53" spans="1:26" ht="15.75" customHeight="1">
      <c r="A53" s="32" t="s">
        <v>112</v>
      </c>
      <c r="B53" s="32" t="s">
        <v>113</v>
      </c>
      <c r="P53" s="31">
        <v>3</v>
      </c>
      <c r="Q53" s="31">
        <v>3</v>
      </c>
      <c r="R53">
        <v>2</v>
      </c>
      <c r="V53" s="34"/>
    </row>
    <row r="54" spans="1:26" ht="15.75" customHeight="1"/>
    <row r="55" spans="1:26" ht="15.75" customHeight="1"/>
    <row r="56" spans="1:26" ht="15.75" customHeight="1"/>
    <row r="57" spans="1:26" ht="15.75" customHeight="1"/>
    <row r="58" spans="1:26" ht="15.75" customHeight="1"/>
    <row r="59" spans="1:26" ht="15.75" customHeight="1"/>
    <row r="60" spans="1:26" ht="15.75" customHeight="1"/>
    <row r="61" spans="1:26" ht="15.75" customHeight="1"/>
    <row r="62" spans="1:26" ht="15.75" customHeight="1"/>
    <row r="63" spans="1:26" ht="15.75" customHeight="1"/>
    <row r="64" spans="1:26" ht="15.75" customHeight="1">
      <c r="A64" s="30" t="s">
        <v>0</v>
      </c>
      <c r="B64" s="31" t="s">
        <v>1</v>
      </c>
      <c r="C64" s="31" t="s">
        <v>2</v>
      </c>
      <c r="D64" s="31" t="s">
        <v>3</v>
      </c>
      <c r="E64" s="31" t="s">
        <v>4</v>
      </c>
      <c r="F64" s="31" t="s">
        <v>5</v>
      </c>
      <c r="G64" s="31" t="s">
        <v>6</v>
      </c>
      <c r="H64" s="31" t="s">
        <v>7</v>
      </c>
      <c r="I64" s="31" t="s">
        <v>8</v>
      </c>
      <c r="J64" s="31" t="s">
        <v>9</v>
      </c>
      <c r="K64" s="31" t="s">
        <v>10</v>
      </c>
      <c r="L64" s="31" t="s">
        <v>11</v>
      </c>
      <c r="M64" s="31" t="s">
        <v>12</v>
      </c>
      <c r="N64" s="31" t="s">
        <v>13</v>
      </c>
      <c r="O64" s="31" t="s">
        <v>14</v>
      </c>
      <c r="P64" s="31" t="s">
        <v>15</v>
      </c>
      <c r="Q64" s="31" t="s">
        <v>16</v>
      </c>
      <c r="R64" s="31" t="s">
        <v>17</v>
      </c>
      <c r="S64" s="31" t="s">
        <v>18</v>
      </c>
      <c r="T64" s="31" t="s">
        <v>19</v>
      </c>
      <c r="U64" s="31" t="s">
        <v>20</v>
      </c>
      <c r="V64" s="31" t="s">
        <v>21</v>
      </c>
      <c r="W64" s="31" t="s">
        <v>22</v>
      </c>
      <c r="X64" s="31" t="s">
        <v>23</v>
      </c>
      <c r="Y64" s="31" t="s">
        <v>24</v>
      </c>
      <c r="Z64" s="31" t="s">
        <v>25</v>
      </c>
    </row>
    <row r="65" spans="1:22" ht="15.75" customHeight="1">
      <c r="A65" s="31" t="s">
        <v>32</v>
      </c>
      <c r="B65" s="32" t="s">
        <v>114</v>
      </c>
      <c r="C65" s="31">
        <v>2</v>
      </c>
      <c r="E65" s="33">
        <v>3</v>
      </c>
      <c r="G65" s="31">
        <v>2</v>
      </c>
    </row>
    <row r="66" spans="1:22" ht="15.75" customHeight="1">
      <c r="A66" s="31" t="s">
        <v>32</v>
      </c>
      <c r="B66" s="32" t="s">
        <v>101</v>
      </c>
      <c r="C66" s="31">
        <v>2</v>
      </c>
      <c r="E66" s="31">
        <v>2</v>
      </c>
      <c r="G66" s="31">
        <v>2</v>
      </c>
    </row>
    <row r="67" spans="1:22" ht="15.75" customHeight="1">
      <c r="A67" s="31" t="s">
        <v>32</v>
      </c>
      <c r="B67" s="31" t="s">
        <v>70</v>
      </c>
      <c r="D67" s="31">
        <v>2</v>
      </c>
      <c r="E67" s="31">
        <v>2</v>
      </c>
    </row>
    <row r="68" spans="1:22" ht="15.75" customHeight="1">
      <c r="A68" s="31" t="s">
        <v>32</v>
      </c>
      <c r="B68" s="31" t="s">
        <v>71</v>
      </c>
      <c r="E68" s="31">
        <v>2</v>
      </c>
      <c r="J68" s="31">
        <v>1</v>
      </c>
      <c r="L68" s="31">
        <v>2</v>
      </c>
    </row>
    <row r="69" spans="1:22" ht="15.75" customHeight="1">
      <c r="A69" s="31" t="s">
        <v>32</v>
      </c>
      <c r="B69" s="31" t="s">
        <v>72</v>
      </c>
      <c r="P69" s="31">
        <v>2</v>
      </c>
      <c r="Q69" s="31">
        <v>2</v>
      </c>
      <c r="V69" s="31">
        <v>2</v>
      </c>
    </row>
    <row r="70" spans="1:22" ht="15.75" customHeight="1">
      <c r="A70" s="31" t="s">
        <v>32</v>
      </c>
      <c r="B70" s="31" t="s">
        <v>73</v>
      </c>
      <c r="L70" s="31">
        <v>3</v>
      </c>
      <c r="P70" s="31">
        <v>2</v>
      </c>
      <c r="R70" s="31">
        <v>1</v>
      </c>
    </row>
    <row r="71" spans="1:22" ht="15.75" customHeight="1">
      <c r="A71" s="31" t="s">
        <v>32</v>
      </c>
      <c r="B71" s="32" t="s">
        <v>115</v>
      </c>
      <c r="L71" s="31">
        <v>3</v>
      </c>
      <c r="P71" s="31">
        <v>2</v>
      </c>
      <c r="R71" s="31">
        <v>2</v>
      </c>
    </row>
    <row r="72" spans="1:22" ht="15.75" customHeight="1"/>
    <row r="73" spans="1:22" ht="15.75" customHeight="1"/>
    <row r="74" spans="1:22" ht="15.75" customHeight="1"/>
    <row r="75" spans="1:22" ht="15.75" customHeight="1"/>
    <row r="76" spans="1:22" ht="15.75" customHeight="1"/>
    <row r="77" spans="1:22" ht="15.75" customHeight="1"/>
    <row r="78" spans="1:22" ht="15.75" customHeight="1"/>
    <row r="79" spans="1:22" ht="15.75" customHeight="1"/>
    <row r="80" spans="1:22" ht="15.75" customHeight="1"/>
    <row r="81" spans="1:26" ht="15.75" customHeight="1"/>
    <row r="82" spans="1:26" ht="15.75" customHeight="1"/>
    <row r="83" spans="1:26" ht="15.75" customHeight="1"/>
    <row r="84" spans="1:26" ht="15.75" customHeight="1"/>
    <row r="85" spans="1:26" ht="15.75" customHeight="1">
      <c r="A85" s="30" t="s">
        <v>0</v>
      </c>
      <c r="B85" s="31" t="s">
        <v>1</v>
      </c>
      <c r="C85" s="31" t="s">
        <v>2</v>
      </c>
      <c r="D85" s="31" t="s">
        <v>3</v>
      </c>
      <c r="E85" s="31" t="s">
        <v>4</v>
      </c>
      <c r="F85" s="31" t="s">
        <v>5</v>
      </c>
      <c r="G85" s="31" t="s">
        <v>6</v>
      </c>
      <c r="H85" s="31" t="s">
        <v>7</v>
      </c>
      <c r="I85" s="31" t="s">
        <v>8</v>
      </c>
      <c r="J85" s="31" t="s">
        <v>9</v>
      </c>
      <c r="K85" s="31" t="s">
        <v>10</v>
      </c>
      <c r="L85" s="31" t="s">
        <v>11</v>
      </c>
      <c r="M85" s="31" t="s">
        <v>12</v>
      </c>
      <c r="N85" s="31" t="s">
        <v>13</v>
      </c>
      <c r="O85" s="31" t="s">
        <v>14</v>
      </c>
      <c r="P85" s="31" t="s">
        <v>15</v>
      </c>
      <c r="Q85" s="31" t="s">
        <v>16</v>
      </c>
      <c r="R85" s="31" t="s">
        <v>17</v>
      </c>
      <c r="S85" s="31" t="s">
        <v>18</v>
      </c>
      <c r="T85" s="31" t="s">
        <v>19</v>
      </c>
      <c r="U85" s="31" t="s">
        <v>20</v>
      </c>
      <c r="V85" s="31" t="s">
        <v>21</v>
      </c>
      <c r="W85" s="31" t="s">
        <v>22</v>
      </c>
      <c r="X85" s="31" t="s">
        <v>23</v>
      </c>
      <c r="Y85" s="31" t="s">
        <v>24</v>
      </c>
      <c r="Z85" s="31" t="s">
        <v>25</v>
      </c>
    </row>
    <row r="86" spans="1:26" ht="15.75" customHeight="1">
      <c r="A86" s="31" t="s">
        <v>34</v>
      </c>
      <c r="B86" s="32" t="s">
        <v>102</v>
      </c>
      <c r="E86" s="33">
        <v>3</v>
      </c>
      <c r="F86" s="31">
        <v>3</v>
      </c>
      <c r="G86" s="31">
        <v>3</v>
      </c>
    </row>
    <row r="87" spans="1:26" ht="15.75" customHeight="1">
      <c r="A87" s="31" t="s">
        <v>34</v>
      </c>
      <c r="B87" s="31" t="s">
        <v>35</v>
      </c>
      <c r="E87" s="31">
        <v>2</v>
      </c>
      <c r="F87" s="31">
        <v>3</v>
      </c>
      <c r="G87" s="31">
        <v>3</v>
      </c>
    </row>
    <row r="88" spans="1:26" ht="15.75" customHeight="1">
      <c r="A88" s="31" t="s">
        <v>34</v>
      </c>
      <c r="B88" s="31" t="s">
        <v>74</v>
      </c>
      <c r="C88" s="31">
        <v>3</v>
      </c>
      <c r="E88" s="31">
        <v>1</v>
      </c>
      <c r="J88" s="31">
        <v>2</v>
      </c>
    </row>
    <row r="89" spans="1:26" ht="15.75" customHeight="1">
      <c r="A89" s="31" t="s">
        <v>34</v>
      </c>
      <c r="B89" s="32" t="s">
        <v>103</v>
      </c>
      <c r="R89" s="31">
        <v>3</v>
      </c>
      <c r="V89" s="33">
        <v>3</v>
      </c>
      <c r="W89" s="33">
        <v>3</v>
      </c>
    </row>
    <row r="90" spans="1:26" ht="15.75" customHeight="1">
      <c r="A90" s="31" t="s">
        <v>34</v>
      </c>
      <c r="B90" s="31" t="s">
        <v>75</v>
      </c>
      <c r="R90" s="31">
        <v>3</v>
      </c>
      <c r="V90" s="31">
        <v>2</v>
      </c>
      <c r="W90" s="31">
        <v>2</v>
      </c>
    </row>
    <row r="91" spans="1:26" ht="15.75" customHeight="1">
      <c r="A91" s="31" t="s">
        <v>34</v>
      </c>
      <c r="B91" s="31" t="s">
        <v>76</v>
      </c>
      <c r="L91" s="31">
        <v>1</v>
      </c>
      <c r="N91" s="31">
        <v>2</v>
      </c>
      <c r="Y91" s="31">
        <v>1</v>
      </c>
    </row>
    <row r="92" spans="1:26" ht="15.75" customHeight="1">
      <c r="A92" s="31" t="s">
        <v>34</v>
      </c>
      <c r="B92" s="31" t="s">
        <v>77</v>
      </c>
      <c r="E92" s="31">
        <v>2</v>
      </c>
      <c r="Y92" s="31">
        <v>2</v>
      </c>
    </row>
    <row r="93" spans="1:26" ht="15.75" customHeight="1">
      <c r="A93" s="31" t="s">
        <v>34</v>
      </c>
      <c r="B93" s="31" t="s">
        <v>78</v>
      </c>
      <c r="L93" s="31">
        <v>1</v>
      </c>
      <c r="R93" s="31">
        <v>3</v>
      </c>
      <c r="T93" s="31">
        <v>3</v>
      </c>
    </row>
    <row r="94" spans="1:26" ht="15.75" customHeight="1"/>
    <row r="95" spans="1:26" ht="15.75" customHeight="1"/>
    <row r="96" spans="1:26" ht="15.75" customHeight="1"/>
    <row r="97" spans="1:26" ht="15.75" customHeight="1"/>
    <row r="98" spans="1:26" ht="15.75" customHeight="1"/>
    <row r="99" spans="1:26" ht="15.75" customHeight="1"/>
    <row r="100" spans="1:26" ht="15.75" customHeight="1"/>
    <row r="101" spans="1:26" ht="15.75" customHeight="1"/>
    <row r="102" spans="1:26" ht="15.75" customHeight="1"/>
    <row r="103" spans="1:26" ht="15.75" customHeight="1"/>
    <row r="104" spans="1:26" ht="15.75" customHeight="1"/>
    <row r="105" spans="1:26" ht="15.75" customHeight="1"/>
    <row r="106" spans="1:26" ht="15.75" customHeight="1"/>
    <row r="107" spans="1:26" ht="15.75" customHeight="1">
      <c r="A107" s="30" t="s">
        <v>0</v>
      </c>
      <c r="B107" s="31" t="s">
        <v>1</v>
      </c>
      <c r="C107" s="31" t="s">
        <v>2</v>
      </c>
      <c r="D107" s="31" t="s">
        <v>3</v>
      </c>
      <c r="E107" s="31" t="s">
        <v>4</v>
      </c>
      <c r="F107" s="31" t="s">
        <v>5</v>
      </c>
      <c r="G107" s="31" t="s">
        <v>6</v>
      </c>
      <c r="H107" s="31" t="s">
        <v>7</v>
      </c>
      <c r="I107" s="31" t="s">
        <v>8</v>
      </c>
      <c r="J107" s="31" t="s">
        <v>9</v>
      </c>
      <c r="K107" s="31" t="s">
        <v>10</v>
      </c>
      <c r="L107" s="31" t="s">
        <v>11</v>
      </c>
      <c r="M107" s="31" t="s">
        <v>12</v>
      </c>
      <c r="N107" s="31" t="s">
        <v>13</v>
      </c>
      <c r="O107" s="31" t="s">
        <v>14</v>
      </c>
      <c r="P107" s="31" t="s">
        <v>15</v>
      </c>
      <c r="Q107" s="31" t="s">
        <v>16</v>
      </c>
      <c r="R107" s="31" t="s">
        <v>17</v>
      </c>
      <c r="S107" s="31" t="s">
        <v>18</v>
      </c>
      <c r="T107" s="31" t="s">
        <v>19</v>
      </c>
      <c r="U107" s="31" t="s">
        <v>20</v>
      </c>
      <c r="V107" s="31" t="s">
        <v>21</v>
      </c>
      <c r="W107" s="31" t="s">
        <v>22</v>
      </c>
      <c r="X107" s="31" t="s">
        <v>23</v>
      </c>
      <c r="Y107" s="31" t="s">
        <v>24</v>
      </c>
      <c r="Z107" s="31" t="s">
        <v>25</v>
      </c>
    </row>
    <row r="108" spans="1:26" ht="15.75" customHeight="1">
      <c r="A108" s="31" t="s">
        <v>36</v>
      </c>
      <c r="B108" s="31" t="s">
        <v>37</v>
      </c>
      <c r="C108" s="31">
        <v>3</v>
      </c>
      <c r="F108" s="31">
        <v>3</v>
      </c>
      <c r="J108" s="31">
        <v>2</v>
      </c>
    </row>
    <row r="109" spans="1:26" ht="15.75" customHeight="1">
      <c r="A109" s="31" t="s">
        <v>36</v>
      </c>
      <c r="B109" s="31" t="s">
        <v>79</v>
      </c>
      <c r="C109" s="31">
        <v>2</v>
      </c>
      <c r="G109" s="31">
        <v>3</v>
      </c>
      <c r="L109" s="31">
        <v>2</v>
      </c>
    </row>
    <row r="110" spans="1:26" ht="15.75" customHeight="1">
      <c r="A110" s="31" t="s">
        <v>36</v>
      </c>
      <c r="B110" s="31" t="s">
        <v>80</v>
      </c>
      <c r="C110" s="31">
        <v>3</v>
      </c>
      <c r="G110" s="31">
        <v>3</v>
      </c>
      <c r="L110" s="31">
        <v>2</v>
      </c>
    </row>
    <row r="111" spans="1:26" ht="15.75" customHeight="1">
      <c r="A111" s="31" t="s">
        <v>36</v>
      </c>
      <c r="B111" s="31" t="s">
        <v>81</v>
      </c>
      <c r="E111" s="31">
        <v>3</v>
      </c>
      <c r="I111" s="31">
        <v>3</v>
      </c>
    </row>
    <row r="112" spans="1:26" ht="15.75" customHeight="1">
      <c r="A112" s="31" t="s">
        <v>36</v>
      </c>
      <c r="B112" s="31" t="s">
        <v>82</v>
      </c>
      <c r="C112" s="31">
        <v>3</v>
      </c>
      <c r="G112" s="31">
        <v>2</v>
      </c>
      <c r="J112" s="31">
        <v>1</v>
      </c>
    </row>
    <row r="113" spans="1:26" ht="15.75" customHeight="1">
      <c r="A113" s="31" t="s">
        <v>36</v>
      </c>
      <c r="B113" s="32" t="s">
        <v>105</v>
      </c>
      <c r="T113" s="31">
        <v>3</v>
      </c>
      <c r="U113" s="31">
        <v>3</v>
      </c>
      <c r="W113" s="33">
        <v>3</v>
      </c>
    </row>
    <row r="114" spans="1:26" ht="15.75" customHeight="1">
      <c r="A114" s="31" t="s">
        <v>36</v>
      </c>
      <c r="B114" s="31" t="s">
        <v>83</v>
      </c>
      <c r="T114" s="31">
        <v>3</v>
      </c>
      <c r="U114" s="31">
        <v>3</v>
      </c>
      <c r="W114" s="31">
        <v>2</v>
      </c>
    </row>
    <row r="115" spans="1:26" ht="15.75" customHeight="1">
      <c r="A115" s="31" t="s">
        <v>36</v>
      </c>
      <c r="B115" s="31" t="s">
        <v>84</v>
      </c>
      <c r="L115" s="31">
        <v>2</v>
      </c>
      <c r="P115" s="31">
        <v>3</v>
      </c>
      <c r="Q115" s="31">
        <v>3</v>
      </c>
    </row>
    <row r="116" spans="1:26" ht="15.75" customHeight="1">
      <c r="A116" s="31" t="s">
        <v>36</v>
      </c>
      <c r="B116" s="32" t="s">
        <v>104</v>
      </c>
      <c r="N116" s="31">
        <v>3</v>
      </c>
      <c r="Q116" s="31">
        <v>3</v>
      </c>
      <c r="R116" s="31">
        <v>2</v>
      </c>
    </row>
    <row r="117" spans="1:26" ht="15.75" customHeight="1">
      <c r="A117" s="31" t="s">
        <v>36</v>
      </c>
      <c r="B117" s="31" t="s">
        <v>85</v>
      </c>
      <c r="N117" s="31">
        <v>1</v>
      </c>
      <c r="Q117" s="31">
        <v>3</v>
      </c>
      <c r="R117" s="31">
        <v>2</v>
      </c>
    </row>
    <row r="118" spans="1:26" ht="15.75" customHeight="1"/>
    <row r="119" spans="1:26" ht="15.75" customHeight="1"/>
    <row r="120" spans="1:26" ht="15.75" customHeight="1"/>
    <row r="121" spans="1:26" ht="15.75" customHeight="1"/>
    <row r="122" spans="1:26" ht="15.75" customHeight="1"/>
    <row r="123" spans="1:26" ht="15.75" customHeight="1"/>
    <row r="124" spans="1:26" ht="15.75" customHeight="1"/>
    <row r="125" spans="1:26" ht="15.75" customHeight="1"/>
    <row r="126" spans="1:26" ht="15.75" customHeight="1"/>
    <row r="127" spans="1:26" ht="15.75" customHeight="1"/>
    <row r="128" spans="1:26" ht="15.75" customHeight="1">
      <c r="A128" s="30" t="s">
        <v>0</v>
      </c>
      <c r="B128" s="31" t="s">
        <v>1</v>
      </c>
      <c r="C128" s="31" t="s">
        <v>2</v>
      </c>
      <c r="D128" s="31" t="s">
        <v>3</v>
      </c>
      <c r="E128" s="31" t="s">
        <v>4</v>
      </c>
      <c r="F128" s="31" t="s">
        <v>5</v>
      </c>
      <c r="G128" s="31" t="s">
        <v>6</v>
      </c>
      <c r="H128" s="31" t="s">
        <v>7</v>
      </c>
      <c r="I128" s="31" t="s">
        <v>8</v>
      </c>
      <c r="J128" s="31" t="s">
        <v>9</v>
      </c>
      <c r="K128" s="31" t="s">
        <v>10</v>
      </c>
      <c r="L128" s="31" t="s">
        <v>11</v>
      </c>
      <c r="M128" s="31" t="s">
        <v>12</v>
      </c>
      <c r="N128" s="31" t="s">
        <v>13</v>
      </c>
      <c r="O128" s="31" t="s">
        <v>14</v>
      </c>
      <c r="P128" s="31" t="s">
        <v>15</v>
      </c>
      <c r="Q128" s="31" t="s">
        <v>16</v>
      </c>
      <c r="R128" s="31" t="s">
        <v>17</v>
      </c>
      <c r="S128" s="31" t="s">
        <v>18</v>
      </c>
      <c r="T128" s="31" t="s">
        <v>19</v>
      </c>
      <c r="U128" s="31" t="s">
        <v>20</v>
      </c>
      <c r="V128" s="31" t="s">
        <v>21</v>
      </c>
      <c r="W128" s="31" t="s">
        <v>22</v>
      </c>
      <c r="X128" s="31" t="s">
        <v>23</v>
      </c>
      <c r="Y128" s="31" t="s">
        <v>24</v>
      </c>
      <c r="Z128" s="31" t="s">
        <v>25</v>
      </c>
    </row>
    <row r="129" spans="1:22" ht="15.75" customHeight="1">
      <c r="A129" s="31" t="s">
        <v>38</v>
      </c>
      <c r="B129" s="31" t="s">
        <v>50</v>
      </c>
      <c r="D129" s="31">
        <v>1</v>
      </c>
      <c r="E129" s="31">
        <v>2</v>
      </c>
      <c r="H129" s="31">
        <v>3</v>
      </c>
    </row>
    <row r="130" spans="1:22" ht="15.75" customHeight="1">
      <c r="A130" s="31" t="s">
        <v>38</v>
      </c>
      <c r="B130" s="31" t="s">
        <v>39</v>
      </c>
      <c r="D130" s="31">
        <v>2</v>
      </c>
      <c r="E130" s="31">
        <v>2</v>
      </c>
      <c r="H130" s="31">
        <v>3</v>
      </c>
    </row>
    <row r="131" spans="1:22" ht="15.75" customHeight="1">
      <c r="A131" s="31" t="s">
        <v>38</v>
      </c>
      <c r="B131" s="31" t="s">
        <v>86</v>
      </c>
      <c r="D131" s="31">
        <v>2</v>
      </c>
      <c r="E131" s="31">
        <v>2</v>
      </c>
    </row>
    <row r="132" spans="1:22" ht="15.75" customHeight="1">
      <c r="A132" s="31" t="s">
        <v>38</v>
      </c>
      <c r="B132" s="32" t="s">
        <v>106</v>
      </c>
      <c r="C132" s="31">
        <v>2</v>
      </c>
      <c r="D132" s="31">
        <v>2</v>
      </c>
      <c r="E132" s="31">
        <v>2</v>
      </c>
    </row>
    <row r="133" spans="1:22" ht="15.75" customHeight="1">
      <c r="A133" s="31" t="s">
        <v>38</v>
      </c>
      <c r="B133" s="32" t="s">
        <v>109</v>
      </c>
      <c r="M133" s="33">
        <v>2</v>
      </c>
      <c r="P133" s="31">
        <v>3</v>
      </c>
      <c r="V133" s="31">
        <v>2</v>
      </c>
    </row>
    <row r="134" spans="1:22" ht="15.75" customHeight="1">
      <c r="A134" s="31" t="s">
        <v>38</v>
      </c>
      <c r="B134" s="31" t="s">
        <v>87</v>
      </c>
      <c r="M134" s="31">
        <v>1</v>
      </c>
      <c r="P134" s="31">
        <v>3</v>
      </c>
      <c r="V134" s="31">
        <v>2</v>
      </c>
    </row>
    <row r="135" spans="1:22" ht="15.75" customHeight="1">
      <c r="A135" s="31" t="s">
        <v>38</v>
      </c>
      <c r="B135" s="31" t="s">
        <v>88</v>
      </c>
      <c r="K135" s="31">
        <v>1</v>
      </c>
      <c r="S135" s="31">
        <v>2</v>
      </c>
      <c r="T135" s="31">
        <v>3</v>
      </c>
    </row>
    <row r="136" spans="1:22" ht="15.75" customHeight="1">
      <c r="A136" s="31" t="s">
        <v>38</v>
      </c>
      <c r="B136" s="32" t="s">
        <v>110</v>
      </c>
      <c r="K136" s="31"/>
      <c r="M136">
        <v>2</v>
      </c>
      <c r="S136" s="31">
        <v>2</v>
      </c>
      <c r="T136" s="31">
        <v>2</v>
      </c>
    </row>
    <row r="137" spans="1:22" ht="15.75" customHeight="1"/>
    <row r="138" spans="1:22" ht="15.75" customHeight="1"/>
    <row r="139" spans="1:22" ht="15.75" customHeight="1"/>
    <row r="140" spans="1:22" ht="15.75" customHeight="1"/>
    <row r="141" spans="1:22" ht="15.75" customHeight="1"/>
    <row r="142" spans="1:22" ht="15.75" customHeight="1"/>
    <row r="143" spans="1:22" ht="15.75" customHeight="1"/>
    <row r="144" spans="1:22" ht="15.75" customHeight="1"/>
    <row r="145" spans="1:26" ht="15.75" customHeight="1"/>
    <row r="146" spans="1:26" ht="15.75" customHeight="1"/>
    <row r="147" spans="1:26" ht="15.75" customHeight="1"/>
    <row r="148" spans="1:26" ht="15.75" customHeight="1"/>
    <row r="149" spans="1:26" ht="15.75" customHeight="1">
      <c r="A149" s="30" t="s">
        <v>0</v>
      </c>
      <c r="B149" s="31" t="s">
        <v>1</v>
      </c>
      <c r="C149" s="31" t="s">
        <v>2</v>
      </c>
      <c r="D149" s="31" t="s">
        <v>3</v>
      </c>
      <c r="E149" s="31" t="s">
        <v>4</v>
      </c>
      <c r="F149" s="31" t="s">
        <v>5</v>
      </c>
      <c r="G149" s="31" t="s">
        <v>6</v>
      </c>
      <c r="H149" s="31" t="s">
        <v>7</v>
      </c>
      <c r="I149" s="31" t="s">
        <v>8</v>
      </c>
      <c r="J149" s="31" t="s">
        <v>9</v>
      </c>
      <c r="K149" s="31" t="s">
        <v>10</v>
      </c>
      <c r="L149" s="31" t="s">
        <v>11</v>
      </c>
      <c r="M149" s="31" t="s">
        <v>12</v>
      </c>
      <c r="N149" s="31" t="s">
        <v>13</v>
      </c>
      <c r="O149" s="31" t="s">
        <v>14</v>
      </c>
      <c r="P149" s="31" t="s">
        <v>15</v>
      </c>
      <c r="Q149" s="31" t="s">
        <v>16</v>
      </c>
      <c r="R149" s="31" t="s">
        <v>17</v>
      </c>
      <c r="S149" s="31" t="s">
        <v>18</v>
      </c>
      <c r="T149" s="31" t="s">
        <v>19</v>
      </c>
      <c r="U149" s="31" t="s">
        <v>20</v>
      </c>
      <c r="V149" s="31" t="s">
        <v>21</v>
      </c>
      <c r="W149" s="31" t="s">
        <v>22</v>
      </c>
      <c r="X149" s="31" t="s">
        <v>23</v>
      </c>
      <c r="Y149" s="31" t="s">
        <v>24</v>
      </c>
      <c r="Z149" s="31" t="s">
        <v>25</v>
      </c>
    </row>
    <row r="150" spans="1:26" ht="15.75" customHeight="1">
      <c r="A150" s="31" t="s">
        <v>40</v>
      </c>
      <c r="B150" s="31" t="s">
        <v>51</v>
      </c>
      <c r="E150" s="31">
        <v>2</v>
      </c>
      <c r="H150" s="31">
        <v>2</v>
      </c>
      <c r="I150" s="31">
        <v>1</v>
      </c>
    </row>
    <row r="151" spans="1:26" ht="15.75" customHeight="1">
      <c r="A151" s="31" t="s">
        <v>40</v>
      </c>
      <c r="B151" s="31" t="s">
        <v>41</v>
      </c>
      <c r="E151" s="31">
        <v>2</v>
      </c>
      <c r="H151" s="31">
        <v>2</v>
      </c>
      <c r="I151" s="31">
        <v>2</v>
      </c>
    </row>
    <row r="152" spans="1:26" ht="15.75" customHeight="1">
      <c r="A152" s="31" t="s">
        <v>40</v>
      </c>
      <c r="B152" s="31" t="s">
        <v>89</v>
      </c>
      <c r="H152" s="31">
        <v>2</v>
      </c>
      <c r="I152" s="31">
        <v>2</v>
      </c>
    </row>
    <row r="153" spans="1:26" ht="15.75" customHeight="1">
      <c r="A153" s="31" t="s">
        <v>40</v>
      </c>
      <c r="B153" s="31" t="s">
        <v>90</v>
      </c>
      <c r="H153" s="31">
        <v>2</v>
      </c>
      <c r="I153" s="31">
        <v>2</v>
      </c>
      <c r="L153" s="31">
        <v>1</v>
      </c>
    </row>
    <row r="154" spans="1:26" ht="15.75" customHeight="1">
      <c r="A154" s="31" t="s">
        <v>40</v>
      </c>
      <c r="B154" s="31" t="s">
        <v>91</v>
      </c>
      <c r="K154" s="31">
        <v>1</v>
      </c>
      <c r="S154" s="31">
        <v>2</v>
      </c>
      <c r="X154" s="31">
        <v>3</v>
      </c>
    </row>
    <row r="155" spans="1:26" ht="15.75" customHeight="1">
      <c r="A155" s="31" t="s">
        <v>40</v>
      </c>
      <c r="B155" s="32" t="s">
        <v>111</v>
      </c>
      <c r="K155" s="31"/>
      <c r="L155">
        <v>2</v>
      </c>
      <c r="P155">
        <v>2</v>
      </c>
      <c r="R155">
        <v>2</v>
      </c>
      <c r="S155" s="31"/>
      <c r="X155" s="31">
        <v>3</v>
      </c>
    </row>
    <row r="156" spans="1:26" ht="15.75" customHeight="1"/>
    <row r="157" spans="1:26" ht="15.75" customHeight="1"/>
    <row r="158" spans="1:26" ht="15.75" customHeight="1"/>
    <row r="159" spans="1:26" ht="15.75" customHeight="1"/>
    <row r="160" spans="1:26" ht="15.75" customHeight="1"/>
    <row r="161" spans="1:26" ht="15.75" customHeight="1"/>
    <row r="162" spans="1:26" ht="15.75" customHeight="1"/>
    <row r="163" spans="1:26" ht="15.75" customHeight="1"/>
    <row r="164" spans="1:26" ht="15.75" customHeight="1"/>
    <row r="165" spans="1:26" ht="15.75" customHeight="1"/>
    <row r="166" spans="1:26" ht="15.75" customHeight="1"/>
    <row r="167" spans="1:26" ht="15.75" customHeight="1"/>
    <row r="168" spans="1:26" ht="15.75" customHeight="1"/>
    <row r="169" spans="1:26" ht="15.75" customHeight="1">
      <c r="A169" s="31" t="s">
        <v>0</v>
      </c>
      <c r="B169" s="31" t="s">
        <v>92</v>
      </c>
      <c r="C169" s="31" t="s">
        <v>2</v>
      </c>
      <c r="D169" s="31" t="s">
        <v>3</v>
      </c>
      <c r="E169" s="31" t="s">
        <v>4</v>
      </c>
      <c r="F169" s="31" t="s">
        <v>5</v>
      </c>
      <c r="G169" s="31" t="s">
        <v>6</v>
      </c>
      <c r="H169" s="31" t="s">
        <v>7</v>
      </c>
      <c r="I169" s="31" t="s">
        <v>8</v>
      </c>
      <c r="J169" s="31" t="s">
        <v>9</v>
      </c>
      <c r="K169" s="31" t="s">
        <v>10</v>
      </c>
      <c r="L169" s="31" t="s">
        <v>11</v>
      </c>
      <c r="M169" s="31" t="s">
        <v>12</v>
      </c>
      <c r="N169" s="31" t="s">
        <v>13</v>
      </c>
      <c r="O169" s="31" t="s">
        <v>14</v>
      </c>
      <c r="P169" s="31" t="s">
        <v>15</v>
      </c>
      <c r="Q169" s="31" t="s">
        <v>16</v>
      </c>
      <c r="R169" s="31" t="s">
        <v>17</v>
      </c>
      <c r="S169" s="31" t="s">
        <v>18</v>
      </c>
      <c r="T169" s="31" t="s">
        <v>19</v>
      </c>
      <c r="U169" s="31" t="s">
        <v>20</v>
      </c>
      <c r="V169" s="31" t="s">
        <v>21</v>
      </c>
      <c r="W169" s="31" t="s">
        <v>22</v>
      </c>
      <c r="X169" s="31" t="s">
        <v>23</v>
      </c>
      <c r="Y169" s="31" t="s">
        <v>24</v>
      </c>
      <c r="Z169" s="31" t="s">
        <v>25</v>
      </c>
    </row>
    <row r="170" spans="1:26" ht="15.75" customHeight="1">
      <c r="A170" s="31" t="s">
        <v>42</v>
      </c>
      <c r="B170" s="32" t="s">
        <v>123</v>
      </c>
      <c r="D170" s="31">
        <v>1</v>
      </c>
      <c r="F170" s="31">
        <v>1</v>
      </c>
      <c r="Y170">
        <v>1</v>
      </c>
    </row>
    <row r="171" spans="1:26" ht="15.75" customHeight="1">
      <c r="A171" s="31" t="s">
        <v>42</v>
      </c>
      <c r="B171" s="32" t="s">
        <v>122</v>
      </c>
      <c r="D171" s="31">
        <v>1</v>
      </c>
      <c r="F171" s="31">
        <v>1</v>
      </c>
    </row>
    <row r="172" spans="1:26" ht="15.75" customHeight="1">
      <c r="A172" s="31" t="s">
        <v>42</v>
      </c>
      <c r="B172" s="31" t="s">
        <v>93</v>
      </c>
      <c r="H172" s="31">
        <v>1</v>
      </c>
      <c r="I172" s="31">
        <v>1</v>
      </c>
    </row>
    <row r="173" spans="1:26" ht="15.75" customHeight="1">
      <c r="A173" s="31" t="s">
        <v>42</v>
      </c>
      <c r="B173" s="31" t="s">
        <v>94</v>
      </c>
      <c r="K173" s="31">
        <v>1</v>
      </c>
      <c r="Q173" s="31">
        <v>1</v>
      </c>
    </row>
    <row r="174" spans="1:26" ht="15.75" customHeight="1">
      <c r="A174" s="31" t="s">
        <v>42</v>
      </c>
      <c r="B174" s="31" t="s">
        <v>95</v>
      </c>
      <c r="P174" s="31">
        <v>1</v>
      </c>
      <c r="R174" s="31">
        <v>1</v>
      </c>
    </row>
    <row r="175" spans="1:26" ht="15.75" customHeight="1">
      <c r="A175" s="31" t="s">
        <v>42</v>
      </c>
      <c r="B175" s="31" t="s">
        <v>96</v>
      </c>
      <c r="U175" s="31">
        <v>1</v>
      </c>
      <c r="V175" s="31">
        <v>1</v>
      </c>
    </row>
    <row r="176" spans="1:26" ht="15.75" customHeight="1">
      <c r="A176" s="31" t="s">
        <v>42</v>
      </c>
      <c r="B176" s="31" t="s">
        <v>97</v>
      </c>
      <c r="Y176" s="31">
        <v>1</v>
      </c>
    </row>
    <row r="177" spans="1:26" ht="15.75" customHeight="1">
      <c r="A177" s="31" t="s">
        <v>42</v>
      </c>
      <c r="B177" s="31" t="s">
        <v>43</v>
      </c>
      <c r="D177" s="31">
        <v>1</v>
      </c>
      <c r="F177" s="31">
        <v>1</v>
      </c>
      <c r="P177" s="31">
        <v>1</v>
      </c>
      <c r="R177" s="31">
        <v>1</v>
      </c>
    </row>
    <row r="178" spans="1:26" ht="15.75" customHeight="1">
      <c r="A178" s="31" t="s">
        <v>42</v>
      </c>
      <c r="B178" s="31" t="s">
        <v>98</v>
      </c>
      <c r="K178" s="31">
        <v>1</v>
      </c>
      <c r="P178" s="31">
        <v>1</v>
      </c>
      <c r="Q178" s="31">
        <v>1</v>
      </c>
      <c r="R178" s="31">
        <v>1</v>
      </c>
    </row>
    <row r="179" spans="1:26" ht="15.75" customHeight="1">
      <c r="A179" s="31" t="s">
        <v>42</v>
      </c>
      <c r="B179" s="31" t="s">
        <v>99</v>
      </c>
      <c r="H179" s="31">
        <v>1</v>
      </c>
      <c r="I179" s="31">
        <v>1</v>
      </c>
      <c r="P179" s="31">
        <v>1</v>
      </c>
      <c r="R179" s="31">
        <v>1</v>
      </c>
    </row>
    <row r="180" spans="1:26" ht="15.75" customHeight="1">
      <c r="A180" s="31" t="s">
        <v>42</v>
      </c>
      <c r="B180" s="31" t="s">
        <v>100</v>
      </c>
      <c r="K180" s="31">
        <v>1</v>
      </c>
      <c r="Q180" s="31">
        <v>1</v>
      </c>
      <c r="U180" s="31">
        <v>1</v>
      </c>
      <c r="V180" s="31">
        <v>1</v>
      </c>
    </row>
    <row r="181" spans="1:26" ht="15.75" customHeight="1"/>
    <row r="182" spans="1:26" ht="15.75" customHeight="1">
      <c r="A182" s="31" t="s">
        <v>0</v>
      </c>
      <c r="C182" s="31" t="s">
        <v>2</v>
      </c>
      <c r="D182" s="31" t="s">
        <v>3</v>
      </c>
      <c r="E182" s="31" t="s">
        <v>4</v>
      </c>
      <c r="F182" s="31" t="s">
        <v>5</v>
      </c>
      <c r="G182" s="31" t="s">
        <v>6</v>
      </c>
      <c r="H182" s="31" t="s">
        <v>7</v>
      </c>
      <c r="I182" s="31" t="s">
        <v>8</v>
      </c>
      <c r="J182" s="31" t="s">
        <v>9</v>
      </c>
      <c r="K182" s="31" t="s">
        <v>10</v>
      </c>
      <c r="L182" s="31" t="s">
        <v>11</v>
      </c>
      <c r="M182" s="31" t="s">
        <v>12</v>
      </c>
      <c r="N182" s="31" t="s">
        <v>13</v>
      </c>
      <c r="O182" s="31" t="s">
        <v>14</v>
      </c>
      <c r="P182" s="31" t="s">
        <v>15</v>
      </c>
      <c r="Q182" s="31" t="s">
        <v>16</v>
      </c>
      <c r="R182" s="31" t="s">
        <v>17</v>
      </c>
      <c r="S182" s="31" t="s">
        <v>18</v>
      </c>
      <c r="T182" s="31" t="s">
        <v>19</v>
      </c>
      <c r="U182" s="31" t="s">
        <v>20</v>
      </c>
      <c r="V182" s="31" t="s">
        <v>21</v>
      </c>
      <c r="W182" s="31" t="s">
        <v>22</v>
      </c>
      <c r="X182" s="31" t="s">
        <v>23</v>
      </c>
      <c r="Y182" s="31" t="s">
        <v>24</v>
      </c>
      <c r="Z182" s="31" t="s">
        <v>25</v>
      </c>
    </row>
    <row r="183" spans="1:26" ht="15.75" customHeight="1">
      <c r="A183" s="31" t="s">
        <v>44</v>
      </c>
      <c r="B183" s="32" t="s">
        <v>124</v>
      </c>
      <c r="C183" s="31">
        <v>15</v>
      </c>
      <c r="D183" s="31">
        <v>15</v>
      </c>
      <c r="E183" s="31">
        <v>15</v>
      </c>
      <c r="F183" s="31">
        <v>15</v>
      </c>
      <c r="G183" s="31">
        <v>15</v>
      </c>
      <c r="H183" s="31">
        <v>10</v>
      </c>
      <c r="I183" s="31">
        <v>10</v>
      </c>
      <c r="J183" s="31">
        <v>15</v>
      </c>
      <c r="K183" s="31">
        <v>10</v>
      </c>
      <c r="L183" s="31">
        <v>10</v>
      </c>
      <c r="M183" s="31">
        <v>10</v>
      </c>
      <c r="N183" s="31">
        <v>10</v>
      </c>
      <c r="O183" s="31">
        <v>10</v>
      </c>
      <c r="P183" s="31">
        <v>10</v>
      </c>
      <c r="Q183" s="31">
        <v>10</v>
      </c>
      <c r="R183" s="31">
        <v>15</v>
      </c>
      <c r="S183" s="31">
        <v>10</v>
      </c>
      <c r="T183" s="31">
        <v>10</v>
      </c>
      <c r="U183" s="31">
        <v>10</v>
      </c>
      <c r="V183" s="31">
        <v>10</v>
      </c>
      <c r="W183" s="31">
        <v>10</v>
      </c>
      <c r="X183" s="31">
        <v>10</v>
      </c>
      <c r="Y183" s="31">
        <v>15</v>
      </c>
      <c r="Z183" s="31">
        <v>10</v>
      </c>
    </row>
    <row r="184" spans="1:26" ht="15.75" customHeight="1">
      <c r="B184" s="32" t="s">
        <v>125</v>
      </c>
      <c r="C184" s="31">
        <v>15</v>
      </c>
      <c r="D184" s="31">
        <v>15</v>
      </c>
      <c r="E184" s="31">
        <v>15</v>
      </c>
      <c r="F184" s="31">
        <v>15</v>
      </c>
      <c r="G184" s="31">
        <v>15</v>
      </c>
      <c r="H184" s="31">
        <v>10</v>
      </c>
      <c r="I184" s="31">
        <v>10</v>
      </c>
      <c r="J184" s="31">
        <v>15</v>
      </c>
      <c r="K184" s="31">
        <v>10</v>
      </c>
      <c r="L184" s="31">
        <v>10</v>
      </c>
      <c r="M184" s="31">
        <v>10</v>
      </c>
      <c r="N184" s="31">
        <v>10</v>
      </c>
      <c r="O184" s="31">
        <v>10</v>
      </c>
      <c r="P184" s="31">
        <v>10</v>
      </c>
      <c r="Q184" s="31">
        <v>10</v>
      </c>
      <c r="R184" s="31">
        <v>15</v>
      </c>
      <c r="S184" s="31">
        <v>10</v>
      </c>
      <c r="T184" s="31">
        <v>10</v>
      </c>
      <c r="U184" s="31">
        <v>10</v>
      </c>
      <c r="V184" s="31">
        <v>10</v>
      </c>
      <c r="W184" s="31">
        <v>10</v>
      </c>
      <c r="X184" s="31">
        <v>10</v>
      </c>
      <c r="Y184" s="31">
        <v>10</v>
      </c>
      <c r="Z184" s="31">
        <v>10</v>
      </c>
    </row>
    <row r="185" spans="1:26" ht="15.75" customHeight="1">
      <c r="B185" s="31" t="s">
        <v>93</v>
      </c>
      <c r="C185" s="31">
        <v>15</v>
      </c>
      <c r="D185" s="31">
        <v>10</v>
      </c>
      <c r="E185" s="31">
        <v>10</v>
      </c>
      <c r="F185" s="31">
        <v>10</v>
      </c>
      <c r="G185" s="31">
        <v>15</v>
      </c>
      <c r="H185" s="31">
        <v>15</v>
      </c>
      <c r="I185" s="31">
        <v>15</v>
      </c>
      <c r="J185" s="31">
        <v>10</v>
      </c>
      <c r="K185" s="31">
        <v>10</v>
      </c>
      <c r="L185" s="31">
        <v>15</v>
      </c>
      <c r="M185" s="31">
        <v>10</v>
      </c>
      <c r="N185" s="31">
        <v>10</v>
      </c>
      <c r="O185" s="31">
        <v>10</v>
      </c>
      <c r="P185" s="31">
        <v>10</v>
      </c>
      <c r="Q185" s="31">
        <v>10</v>
      </c>
      <c r="R185" s="31">
        <v>10</v>
      </c>
      <c r="S185" s="31">
        <v>15</v>
      </c>
      <c r="T185" s="31">
        <v>10</v>
      </c>
      <c r="U185" s="31">
        <v>10</v>
      </c>
      <c r="V185" s="31">
        <v>10</v>
      </c>
      <c r="W185" s="31">
        <v>10</v>
      </c>
      <c r="X185" s="31">
        <v>15</v>
      </c>
      <c r="Y185" s="31">
        <v>10</v>
      </c>
      <c r="Z185" s="31">
        <v>10</v>
      </c>
    </row>
    <row r="186" spans="1:26" ht="15.75" customHeight="1">
      <c r="B186" s="31" t="s">
        <v>94</v>
      </c>
      <c r="C186" s="31">
        <v>10</v>
      </c>
      <c r="D186" s="31">
        <v>15</v>
      </c>
      <c r="E186" s="31">
        <v>10</v>
      </c>
      <c r="F186" s="31">
        <v>10</v>
      </c>
      <c r="G186" s="31">
        <v>10</v>
      </c>
      <c r="H186" s="31">
        <v>10</v>
      </c>
      <c r="I186" s="31">
        <v>10</v>
      </c>
      <c r="J186" s="31">
        <v>10</v>
      </c>
      <c r="K186" s="31">
        <v>15</v>
      </c>
      <c r="L186" s="31">
        <v>15</v>
      </c>
      <c r="M186" s="31">
        <v>10</v>
      </c>
      <c r="N186" s="31">
        <v>10</v>
      </c>
      <c r="O186" s="31">
        <v>15</v>
      </c>
      <c r="P186" s="31">
        <v>15</v>
      </c>
      <c r="Q186" s="31">
        <v>15</v>
      </c>
      <c r="R186" s="31">
        <v>10</v>
      </c>
      <c r="S186" s="31">
        <v>10</v>
      </c>
      <c r="T186" s="31">
        <v>10</v>
      </c>
      <c r="U186" s="31">
        <v>10</v>
      </c>
      <c r="V186" s="31">
        <v>10</v>
      </c>
      <c r="W186" s="31">
        <v>10</v>
      </c>
      <c r="X186" s="31">
        <v>15</v>
      </c>
      <c r="Y186" s="31">
        <v>15</v>
      </c>
      <c r="Z186" s="31">
        <v>10</v>
      </c>
    </row>
    <row r="187" spans="1:26" ht="15.75" customHeight="1">
      <c r="B187" s="31" t="s">
        <v>95</v>
      </c>
      <c r="C187" s="31">
        <v>10</v>
      </c>
      <c r="D187" s="31">
        <v>10</v>
      </c>
      <c r="E187" s="31">
        <v>10</v>
      </c>
      <c r="F187" s="31">
        <v>10</v>
      </c>
      <c r="G187" s="31">
        <v>10</v>
      </c>
      <c r="H187" s="31">
        <v>10</v>
      </c>
      <c r="I187" s="31">
        <v>10</v>
      </c>
      <c r="J187" s="31">
        <v>10</v>
      </c>
      <c r="K187" s="31">
        <v>10</v>
      </c>
      <c r="L187" s="31">
        <v>10</v>
      </c>
      <c r="M187" s="31">
        <v>15</v>
      </c>
      <c r="N187" s="31">
        <v>15</v>
      </c>
      <c r="O187" s="31">
        <v>10</v>
      </c>
      <c r="P187" s="31">
        <v>15</v>
      </c>
      <c r="Q187" s="31">
        <v>15</v>
      </c>
      <c r="R187" s="31">
        <v>15</v>
      </c>
      <c r="S187" s="31">
        <v>15</v>
      </c>
      <c r="T187" s="31">
        <v>15</v>
      </c>
      <c r="U187" s="31">
        <v>10</v>
      </c>
      <c r="V187" s="31">
        <v>10</v>
      </c>
      <c r="W187" s="31">
        <v>10</v>
      </c>
      <c r="X187" s="31">
        <v>10</v>
      </c>
      <c r="Y187" s="31">
        <v>10</v>
      </c>
      <c r="Z187" s="31">
        <v>10</v>
      </c>
    </row>
    <row r="188" spans="1:26" ht="15.75" customHeight="1">
      <c r="B188" s="31" t="s">
        <v>96</v>
      </c>
      <c r="C188" s="31">
        <v>10</v>
      </c>
      <c r="D188" s="31">
        <v>10</v>
      </c>
      <c r="E188" s="31">
        <v>10</v>
      </c>
      <c r="F188" s="31">
        <v>10</v>
      </c>
      <c r="G188" s="31">
        <v>10</v>
      </c>
      <c r="H188" s="31">
        <v>10</v>
      </c>
      <c r="I188" s="31">
        <v>10</v>
      </c>
      <c r="J188" s="31">
        <v>10</v>
      </c>
      <c r="K188" s="31">
        <v>10</v>
      </c>
      <c r="L188" s="31">
        <v>10</v>
      </c>
      <c r="M188" s="31">
        <v>15</v>
      </c>
      <c r="N188" s="31">
        <v>10</v>
      </c>
      <c r="O188" s="31">
        <v>10</v>
      </c>
      <c r="P188" s="31">
        <v>15</v>
      </c>
      <c r="Q188" s="31">
        <v>15</v>
      </c>
      <c r="R188" s="31">
        <v>15</v>
      </c>
      <c r="S188" s="31">
        <v>15</v>
      </c>
      <c r="T188" s="31">
        <v>15</v>
      </c>
      <c r="U188" s="31">
        <v>15</v>
      </c>
      <c r="V188" s="31">
        <v>15</v>
      </c>
      <c r="W188" s="31">
        <v>15</v>
      </c>
      <c r="X188" s="31">
        <v>10</v>
      </c>
      <c r="Y188" s="31">
        <v>10</v>
      </c>
      <c r="Z188" s="31">
        <v>10</v>
      </c>
    </row>
    <row r="189" spans="1:26" ht="15.75" customHeight="1">
      <c r="B189" s="31" t="s">
        <v>97</v>
      </c>
      <c r="C189" s="31">
        <v>10</v>
      </c>
      <c r="D189" s="31">
        <v>10</v>
      </c>
      <c r="E189" s="31">
        <v>10</v>
      </c>
      <c r="F189" s="31">
        <v>10</v>
      </c>
      <c r="G189" s="31">
        <v>10</v>
      </c>
      <c r="H189" s="31">
        <v>10</v>
      </c>
      <c r="I189" s="31">
        <v>10</v>
      </c>
      <c r="J189" s="31">
        <v>10</v>
      </c>
      <c r="K189" s="31">
        <v>10</v>
      </c>
      <c r="L189" s="31">
        <v>10</v>
      </c>
      <c r="M189" s="31">
        <v>10</v>
      </c>
      <c r="N189" s="31">
        <v>10</v>
      </c>
      <c r="O189" s="31">
        <v>10</v>
      </c>
      <c r="P189" s="31">
        <v>10</v>
      </c>
      <c r="Q189" s="31">
        <v>10</v>
      </c>
      <c r="R189" s="31">
        <v>10</v>
      </c>
      <c r="S189" s="31">
        <v>10</v>
      </c>
      <c r="T189" s="31">
        <v>10</v>
      </c>
      <c r="U189" s="31">
        <v>10</v>
      </c>
      <c r="V189" s="31">
        <v>10</v>
      </c>
      <c r="W189" s="31">
        <v>10</v>
      </c>
      <c r="X189" s="31">
        <v>10</v>
      </c>
      <c r="Y189" s="31">
        <v>15</v>
      </c>
      <c r="Z189" s="31">
        <v>10</v>
      </c>
    </row>
    <row r="190" spans="1:26" ht="15.75" customHeight="1">
      <c r="B190" s="32" t="s">
        <v>121</v>
      </c>
      <c r="C190" s="31">
        <v>15</v>
      </c>
      <c r="D190" s="31">
        <v>15</v>
      </c>
      <c r="E190" s="31">
        <v>15</v>
      </c>
      <c r="F190" s="31">
        <v>15</v>
      </c>
      <c r="G190" s="31">
        <v>15</v>
      </c>
      <c r="H190" s="31">
        <v>10</v>
      </c>
      <c r="I190" s="31">
        <v>10</v>
      </c>
      <c r="J190" s="31">
        <v>15</v>
      </c>
      <c r="K190" s="31">
        <v>10</v>
      </c>
      <c r="L190" s="31">
        <v>10</v>
      </c>
      <c r="M190" s="31">
        <v>15</v>
      </c>
      <c r="N190" s="31">
        <v>15</v>
      </c>
      <c r="O190" s="31">
        <v>10</v>
      </c>
      <c r="P190" s="31">
        <v>15</v>
      </c>
      <c r="Q190" s="31">
        <v>15</v>
      </c>
      <c r="R190" s="31">
        <v>15</v>
      </c>
      <c r="S190" s="31">
        <v>15</v>
      </c>
      <c r="T190" s="31">
        <v>15</v>
      </c>
      <c r="U190" s="31">
        <v>10</v>
      </c>
      <c r="V190" s="31">
        <v>10</v>
      </c>
      <c r="W190" s="31">
        <v>10</v>
      </c>
      <c r="X190" s="31">
        <v>10</v>
      </c>
      <c r="Y190" s="31">
        <v>10</v>
      </c>
      <c r="Z190" s="31">
        <v>10</v>
      </c>
    </row>
    <row r="191" spans="1:26" ht="15.75" customHeight="1">
      <c r="B191" s="31" t="s">
        <v>98</v>
      </c>
      <c r="C191" s="31">
        <v>10</v>
      </c>
      <c r="D191" s="31">
        <v>15</v>
      </c>
      <c r="E191" s="31">
        <v>10</v>
      </c>
      <c r="F191" s="31">
        <v>10</v>
      </c>
      <c r="G191" s="31">
        <v>10</v>
      </c>
      <c r="H191" s="31">
        <v>10</v>
      </c>
      <c r="I191" s="31">
        <v>10</v>
      </c>
      <c r="J191" s="31">
        <v>10</v>
      </c>
      <c r="K191" s="31">
        <v>15</v>
      </c>
      <c r="L191" s="31">
        <v>15</v>
      </c>
      <c r="M191" s="31">
        <v>15</v>
      </c>
      <c r="N191" s="31">
        <v>15</v>
      </c>
      <c r="O191" s="31">
        <v>15</v>
      </c>
      <c r="P191" s="31">
        <v>15</v>
      </c>
      <c r="Q191" s="31">
        <v>15</v>
      </c>
      <c r="R191" s="31">
        <v>15</v>
      </c>
      <c r="S191" s="31">
        <v>15</v>
      </c>
      <c r="T191" s="31">
        <v>15</v>
      </c>
      <c r="U191" s="31">
        <v>10</v>
      </c>
      <c r="V191" s="31">
        <v>10</v>
      </c>
      <c r="W191" s="31">
        <v>10</v>
      </c>
      <c r="X191" s="31">
        <v>15</v>
      </c>
      <c r="Y191" s="31">
        <v>15</v>
      </c>
      <c r="Z191" s="31">
        <v>10</v>
      </c>
    </row>
    <row r="192" spans="1:26" ht="15.75" customHeight="1">
      <c r="B192" s="31" t="s">
        <v>99</v>
      </c>
      <c r="C192" s="31">
        <v>15</v>
      </c>
      <c r="D192" s="31">
        <v>10</v>
      </c>
      <c r="E192" s="31">
        <v>10</v>
      </c>
      <c r="F192" s="31">
        <v>10</v>
      </c>
      <c r="G192" s="31">
        <v>15</v>
      </c>
      <c r="H192" s="31">
        <v>15</v>
      </c>
      <c r="I192" s="31">
        <v>15</v>
      </c>
      <c r="J192" s="31">
        <v>10</v>
      </c>
      <c r="K192" s="31">
        <v>10</v>
      </c>
      <c r="L192" s="31">
        <v>15</v>
      </c>
      <c r="M192" s="31">
        <v>15</v>
      </c>
      <c r="N192" s="31">
        <v>15</v>
      </c>
      <c r="O192" s="31">
        <v>10</v>
      </c>
      <c r="P192" s="31">
        <v>15</v>
      </c>
      <c r="Q192" s="31">
        <v>15</v>
      </c>
      <c r="R192" s="31">
        <v>15</v>
      </c>
      <c r="S192" s="31">
        <v>15</v>
      </c>
      <c r="T192" s="31">
        <v>15</v>
      </c>
      <c r="U192" s="31">
        <v>10</v>
      </c>
      <c r="V192" s="31">
        <v>10</v>
      </c>
      <c r="W192" s="31">
        <v>10</v>
      </c>
      <c r="X192" s="31">
        <v>10</v>
      </c>
      <c r="Y192" s="31">
        <v>10</v>
      </c>
      <c r="Z192" s="31">
        <v>10</v>
      </c>
    </row>
    <row r="193" spans="2:26" ht="15.75" customHeight="1">
      <c r="B193" s="31" t="s">
        <v>100</v>
      </c>
      <c r="C193" s="31">
        <v>10</v>
      </c>
      <c r="D193" s="31">
        <v>15</v>
      </c>
      <c r="E193" s="31">
        <v>10</v>
      </c>
      <c r="F193" s="31">
        <v>10</v>
      </c>
      <c r="G193" s="31">
        <v>10</v>
      </c>
      <c r="H193" s="31">
        <v>10</v>
      </c>
      <c r="I193" s="31">
        <v>10</v>
      </c>
      <c r="J193" s="31">
        <v>10</v>
      </c>
      <c r="K193" s="31">
        <v>15</v>
      </c>
      <c r="L193" s="31">
        <v>15</v>
      </c>
      <c r="M193" s="31">
        <v>15</v>
      </c>
      <c r="N193" s="31">
        <v>15</v>
      </c>
      <c r="O193" s="31">
        <v>15</v>
      </c>
      <c r="P193" s="31">
        <v>15</v>
      </c>
      <c r="Q193" s="31">
        <v>15</v>
      </c>
      <c r="R193" s="31">
        <v>15</v>
      </c>
      <c r="S193" s="31">
        <v>15</v>
      </c>
      <c r="T193" s="31">
        <v>15</v>
      </c>
      <c r="U193" s="31">
        <v>15</v>
      </c>
      <c r="V193" s="31">
        <v>15</v>
      </c>
      <c r="W193" s="31">
        <v>15</v>
      </c>
      <c r="X193" s="31">
        <v>15</v>
      </c>
      <c r="Y193" s="31">
        <v>15</v>
      </c>
      <c r="Z193" s="31">
        <v>10</v>
      </c>
    </row>
    <row r="194" spans="2:26" ht="15.75" customHeight="1"/>
    <row r="195" spans="2:26" ht="15.75" customHeight="1"/>
    <row r="196" spans="2:26" ht="15.75" customHeight="1"/>
    <row r="197" spans="2:26" ht="15.75" customHeight="1"/>
    <row r="198" spans="2:26" ht="15.75" customHeight="1"/>
    <row r="199" spans="2:26" ht="15.75" customHeight="1"/>
    <row r="200" spans="2:26" ht="15.75" customHeight="1"/>
    <row r="201" spans="2:26" ht="15.75" customHeight="1"/>
    <row r="202" spans="2:26" ht="15.75" customHeight="1"/>
    <row r="203" spans="2:26" ht="15.75" customHeight="1"/>
    <row r="204" spans="2:26" ht="15.75" customHeight="1"/>
    <row r="205" spans="2:26" ht="15.75" customHeight="1"/>
    <row r="206" spans="2:26" ht="15.75" customHeight="1"/>
    <row r="207" spans="2:26" ht="15.75" customHeight="1"/>
    <row r="208" spans="2:2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phoneticPr fontId="8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10</vt:i4>
      </vt:variant>
    </vt:vector>
  </HeadingPairs>
  <TitlesOfParts>
    <vt:vector size="13" baseType="lpstr">
      <vt:lpstr>選單</vt:lpstr>
      <vt:lpstr>炮船範例</vt:lpstr>
      <vt:lpstr>資料源(請謹慎編輯)</vt:lpstr>
      <vt:lpstr>手套名冊</vt:lpstr>
      <vt:lpstr>主武名冊</vt:lpstr>
      <vt:lpstr>衣服名冊</vt:lpstr>
      <vt:lpstr>角色上限</vt:lpstr>
      <vt:lpstr>副武名冊</vt:lpstr>
      <vt:lpstr>飾品名冊</vt:lpstr>
      <vt:lpstr>鞋子名冊</vt:lpstr>
      <vt:lpstr>頭盔名冊</vt:lpstr>
      <vt:lpstr>職業名冊</vt:lpstr>
      <vt:lpstr>寶物名冊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劉侃璍</dc:creator>
  <cp:lastModifiedBy>user</cp:lastModifiedBy>
  <dcterms:created xsi:type="dcterms:W3CDTF">2015-06-05T18:19:34Z</dcterms:created>
  <dcterms:modified xsi:type="dcterms:W3CDTF">2026-04-24T04:12:23Z</dcterms:modified>
</cp:coreProperties>
</file>