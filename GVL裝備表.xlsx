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264" windowHeight="17748" tabRatio="600" firstSheet="0" activeTab="2" autoFilterDateGrouping="1"/>
  </bookViews>
  <sheets>
    <sheet name="選單" sheetId="1" state="visible" r:id="rId1"/>
    <sheet name="炮船範例" sheetId="2" state="visible" r:id="rId2"/>
    <sheet name="資料源(請謹慎編輯)" sheetId="3" state="visible" r:id="rId3"/>
  </sheets>
  <definedNames>
    <definedName name="手套名冊">'資料源(請謹慎編輯)'!$B$243:$B$270</definedName>
    <definedName name="主武名冊">'資料源(請謹慎編輯)'!$B$59:$B$99</definedName>
    <definedName name="衣服名冊">'資料源(請謹慎編輯)'!$B$170:$B$241</definedName>
    <definedName name="角色上限">'資料源(請謹慎編輯)'!$B$314:$B$324</definedName>
    <definedName name="副武名冊">'資料源(請謹慎編輯)'!$B$101:$B$120</definedName>
    <definedName name="飾品名冊">'資料源(請謹慎編輯)'!$B$2:$B$25</definedName>
    <definedName name="鞋子名冊">'資料源(請謹慎編輯)'!$B$272:$B$299</definedName>
    <definedName name="頭盔名冊">'資料源(請謹慎編輯)'!$B$122:$B$168</definedName>
    <definedName name="職業名冊">'資料源(請謹慎編輯)'!$B$301:$B$311</definedName>
    <definedName name="寶物名冊">'資料源(請謹慎編輯)'!$B$27:$B$57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;\-0;"/>
  </numFmts>
  <fonts count="10">
    <font>
      <name val="Calibri"/>
      <color theme="1"/>
      <sz val="11"/>
      <scheme val="minor"/>
    </font>
    <font>
      <name val="Microsoft JhengHei"/>
      <charset val="136"/>
      <family val="2"/>
      <b val="1"/>
      <color theme="0"/>
      <sz val="14"/>
    </font>
    <font>
      <name val="Microsoft JhengHei"/>
      <charset val="136"/>
      <family val="2"/>
      <color theme="1"/>
      <sz val="14"/>
    </font>
    <font>
      <name val="Microsoft JhengHei"/>
      <charset val="136"/>
      <family val="2"/>
      <b val="1"/>
      <color theme="1"/>
      <sz val="14"/>
    </font>
    <font>
      <name val="Calibri"/>
      <sz val="11"/>
    </font>
    <font>
      <name val="Microsoft JhengHei"/>
      <charset val="136"/>
      <family val="2"/>
      <color theme="1"/>
      <sz val="11"/>
    </font>
    <font>
      <name val="Calibri"/>
      <color theme="1"/>
      <sz val="11"/>
      <scheme val="minor"/>
    </font>
    <font>
      <name val="Calibri"/>
      <charset val="136"/>
      <family val="2"/>
      <color rgb="FF9C6500"/>
      <sz val="12"/>
      <scheme val="minor"/>
    </font>
    <font>
      <name val="Calibri"/>
      <charset val="136"/>
      <family val="3"/>
      <sz val="9"/>
      <scheme val="minor"/>
    </font>
    <font>
      <name val="Calibri"/>
      <charset val="136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6" fillId="0" borderId="21"/>
    <xf numFmtId="0" fontId="7" fillId="7" borderId="21" applyAlignment="1">
      <alignment vertical="center"/>
    </xf>
  </cellStyleXfs>
  <cellXfs count="59">
    <xf numFmtId="0" fontId="0" fillId="0" borderId="0" pivotButton="0" quotePrefix="0" xfId="0"/>
    <xf numFmtId="0" fontId="1" fillId="2" borderId="1" pivotButton="0" quotePrefix="0" xfId="0"/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" fillId="0" borderId="0" pivotButton="0" quotePrefix="0" xfId="0"/>
    <xf numFmtId="0" fontId="3" fillId="3" borderId="5" applyAlignment="1" pivotButton="0" quotePrefix="0" xfId="0">
      <alignment horizontal="center" vertical="top"/>
    </xf>
    <xf numFmtId="164" fontId="2" fillId="4" borderId="1" pivotButton="0" quotePrefix="0" xfId="0"/>
    <xf numFmtId="164" fontId="2" fillId="0" borderId="0" pivotButton="0" quotePrefix="0" xfId="0"/>
    <xf numFmtId="164" fontId="2" fillId="4" borderId="6" pivotButton="0" quotePrefix="0" xfId="0"/>
    <xf numFmtId="164" fontId="2" fillId="0" borderId="7" pivotButton="0" quotePrefix="0" xfId="0"/>
    <xf numFmtId="164" fontId="2" fillId="0" borderId="8" pivotButton="0" quotePrefix="0" xfId="0"/>
    <xf numFmtId="0" fontId="3" fillId="3" borderId="9" applyAlignment="1" pivotButton="0" quotePrefix="0" xfId="0">
      <alignment horizontal="center" vertical="top"/>
    </xf>
    <xf numFmtId="164" fontId="2" fillId="4" borderId="10" pivotButton="0" quotePrefix="0" xfId="0"/>
    <xf numFmtId="164" fontId="2" fillId="0" borderId="11" pivotButton="0" quotePrefix="0" xfId="0"/>
    <xf numFmtId="164" fontId="2" fillId="4" borderId="12" pivotButton="0" quotePrefix="0" xfId="0"/>
    <xf numFmtId="164" fontId="2" fillId="0" borderId="13" pivotButton="0" quotePrefix="0" xfId="0"/>
    <xf numFmtId="0" fontId="2" fillId="0" borderId="14" pivotButton="0" quotePrefix="0" xfId="0"/>
    <xf numFmtId="0" fontId="3" fillId="3" borderId="15" applyAlignment="1" pivotButton="0" quotePrefix="0" xfId="0">
      <alignment horizontal="center" vertical="top"/>
    </xf>
    <xf numFmtId="164" fontId="2" fillId="0" borderId="16" pivotButton="0" quotePrefix="0" xfId="0"/>
    <xf numFmtId="0" fontId="2" fillId="4" borderId="12" pivotButton="0" quotePrefix="0" xfId="0"/>
    <xf numFmtId="0" fontId="2" fillId="4" borderId="1" pivotButton="0" quotePrefix="0" xfId="0"/>
    <xf numFmtId="0" fontId="2" fillId="4" borderId="6" pivotButton="0" quotePrefix="0" xfId="0"/>
    <xf numFmtId="0" fontId="2" fillId="0" borderId="16" pivotButton="0" quotePrefix="0" xfId="0"/>
    <xf numFmtId="164" fontId="3" fillId="5" borderId="19" pivotButton="0" quotePrefix="0" xfId="0"/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3" fillId="3" borderId="5" applyAlignment="1" pivotButton="0" quotePrefix="0" xfId="0">
      <alignment horizontal="center" vertical="top"/>
    </xf>
    <xf numFmtId="0" fontId="3" fillId="3" borderId="9" applyAlignment="1" pivotButton="0" quotePrefix="0" xfId="0">
      <alignment horizontal="center" vertical="top"/>
    </xf>
    <xf numFmtId="0" fontId="3" fillId="3" borderId="15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7" fillId="7" borderId="0" pivotButton="0" quotePrefix="0" xfId="1"/>
    <xf numFmtId="0" fontId="0" fillId="0" borderId="21" pivotButton="0" quotePrefix="0" xfId="0"/>
    <xf numFmtId="0" fontId="3" fillId="0" borderId="7" applyAlignment="1" pivotButton="0" quotePrefix="0" xfId="0">
      <alignment horizontal="center"/>
    </xf>
    <xf numFmtId="0" fontId="4" fillId="0" borderId="14" pivotButton="0" quotePrefix="0" xfId="0"/>
    <xf numFmtId="0" fontId="4" fillId="0" borderId="8" pivotButton="0" quotePrefix="0" xfId="0"/>
    <xf numFmtId="0" fontId="3" fillId="5" borderId="17" applyAlignment="1" pivotButton="0" quotePrefix="0" xfId="0">
      <alignment horizontal="center"/>
    </xf>
    <xf numFmtId="0" fontId="4" fillId="0" borderId="18" pivotButton="0" quotePrefix="0" xfId="0"/>
    <xf numFmtId="0" fontId="3" fillId="6" borderId="20" applyAlignment="1" pivotButton="0" quotePrefix="0" xfId="0">
      <alignment horizontal="center"/>
    </xf>
    <xf numFmtId="0" fontId="4" fillId="0" borderId="21" pivotButton="0" quotePrefix="0" xfId="0"/>
    <xf numFmtId="164" fontId="2" fillId="4" borderId="1" pivotButton="0" quotePrefix="0" xfId="0"/>
    <xf numFmtId="164" fontId="2" fillId="0" borderId="0" pivotButton="0" quotePrefix="0" xfId="0"/>
    <xf numFmtId="164" fontId="2" fillId="4" borderId="6" pivotButton="0" quotePrefix="0" xfId="0"/>
    <xf numFmtId="164" fontId="2" fillId="0" borderId="7" pivotButton="0" quotePrefix="0" xfId="0"/>
    <xf numFmtId="164" fontId="2" fillId="0" borderId="8" pivotButton="0" quotePrefix="0" xfId="0"/>
    <xf numFmtId="164" fontId="2" fillId="4" borderId="10" pivotButton="0" quotePrefix="0" xfId="0"/>
    <xf numFmtId="164" fontId="2" fillId="0" borderId="11" pivotButton="0" quotePrefix="0" xfId="0"/>
    <xf numFmtId="164" fontId="2" fillId="4" borderId="12" pivotButton="0" quotePrefix="0" xfId="0"/>
    <xf numFmtId="164" fontId="2" fillId="0" borderId="13" pivotButton="0" quotePrefix="0" xfId="0"/>
    <xf numFmtId="164" fontId="2" fillId="0" borderId="16" pivotButton="0" quotePrefix="0" xfId="0"/>
    <xf numFmtId="0" fontId="3" fillId="0" borderId="14" applyAlignment="1" pivotButton="0" quotePrefix="0" xfId="0">
      <alignment horizontal="center"/>
    </xf>
    <xf numFmtId="0" fontId="0" fillId="0" borderId="14" pivotButton="0" quotePrefix="0" xfId="0"/>
    <xf numFmtId="0" fontId="3" fillId="0" borderId="18" applyAlignment="1" pivotButton="0" quotePrefix="0" xfId="0">
      <alignment horizontal="center"/>
    </xf>
    <xf numFmtId="0" fontId="0" fillId="0" borderId="18" pivotButton="0" quotePrefix="0" xfId="0"/>
    <xf numFmtId="0" fontId="3" fillId="5" borderId="18" applyAlignment="1" pivotButton="0" quotePrefix="0" xfId="0">
      <alignment horizontal="center"/>
    </xf>
    <xf numFmtId="164" fontId="3" fillId="5" borderId="19" pivotButton="0" quotePrefix="0" xfId="0"/>
    <xf numFmtId="0" fontId="3" fillId="6" borderId="21" applyAlignment="1" pivotButton="0" quotePrefix="0" xfId="0">
      <alignment horizontal="center"/>
    </xf>
  </cellXfs>
  <cellStyles count="2">
    <cellStyle name="一般" xfId="0" builtinId="0"/>
    <cellStyle name="中等" xfId="1" builtinId="28"/>
  </cellStyles>
  <dxfs count="2">
    <dxf>
      <font>
        <b val="1"/>
        <color rgb="FFFF0000"/>
      </font>
      <fill>
        <patternFill/>
      </fill>
    </dxf>
    <dxf>
      <font>
        <b val="1"/>
        <color rgb="FFFF000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4140625" defaultRowHeight="15" customHeight="1"/>
  <cols>
    <col width="12.6640625" customWidth="1" min="1" max="1"/>
    <col width="27.33203125" customWidth="1" min="2" max="2"/>
    <col width="13.109375" customWidth="1" min="3" max="26"/>
  </cols>
  <sheetData>
    <row r="1" ht="18.75" customHeight="1">
      <c r="A1" s="1" t="inlineStr">
        <is>
          <t>位置</t>
        </is>
      </c>
      <c r="B1" s="2" t="inlineStr">
        <is>
          <t>裝備名稱</t>
        </is>
      </c>
      <c r="C1" s="3" t="inlineStr">
        <is>
          <t>炮術</t>
        </is>
      </c>
      <c r="D1" s="3" t="inlineStr">
        <is>
          <t>水平射擊</t>
        </is>
      </c>
      <c r="E1" s="3" t="inlineStr">
        <is>
          <t>速射</t>
        </is>
      </c>
      <c r="F1" s="3" t="inlineStr">
        <is>
          <t>貫穿</t>
        </is>
      </c>
      <c r="G1" s="3" t="inlineStr">
        <is>
          <t>彈道學</t>
        </is>
      </c>
      <c r="H1" s="3" t="inlineStr">
        <is>
          <t>水雷</t>
        </is>
      </c>
      <c r="I1" s="3" t="inlineStr">
        <is>
          <t>齊射</t>
        </is>
      </c>
      <c r="J1" s="3" t="inlineStr">
        <is>
          <t>修理</t>
        </is>
      </c>
      <c r="K1" s="3" t="inlineStr">
        <is>
          <t>掠奪</t>
        </is>
      </c>
      <c r="L1" s="3" t="inlineStr">
        <is>
          <t>迴避</t>
        </is>
      </c>
      <c r="M1" s="3" t="inlineStr">
        <is>
          <t>應急</t>
        </is>
      </c>
      <c r="N1" s="3" t="inlineStr">
        <is>
          <t>手術</t>
        </is>
      </c>
      <c r="O1" s="3" t="inlineStr">
        <is>
          <t>划船</t>
        </is>
      </c>
      <c r="P1" s="3" t="inlineStr">
        <is>
          <t>劍術</t>
        </is>
      </c>
      <c r="Q1" s="3" t="inlineStr">
        <is>
          <t>突擊</t>
        </is>
      </c>
      <c r="R1" s="3" t="inlineStr">
        <is>
          <t>戰術</t>
        </is>
      </c>
      <c r="S1" s="3" t="inlineStr">
        <is>
          <t>射擊</t>
        </is>
      </c>
      <c r="T1" s="3" t="inlineStr">
        <is>
          <t>防禦</t>
        </is>
      </c>
      <c r="U1" s="3" t="inlineStr">
        <is>
          <t>識破</t>
        </is>
      </c>
      <c r="V1" s="3" t="inlineStr">
        <is>
          <t>猛擊</t>
        </is>
      </c>
      <c r="W1" s="4" t="inlineStr">
        <is>
          <t>迅捷</t>
        </is>
      </c>
      <c r="X1" s="4" t="inlineStr">
        <is>
          <t>接舷</t>
        </is>
      </c>
      <c r="Y1" s="4" t="inlineStr">
        <is>
          <t>操舵</t>
        </is>
      </c>
      <c r="Z1" s="4" t="inlineStr">
        <is>
          <t>搜尋</t>
        </is>
      </c>
    </row>
    <row r="2" ht="18.75" customHeight="1">
      <c r="A2" s="5" t="inlineStr">
        <is>
          <t>飾品</t>
        </is>
      </c>
      <c r="B2" s="27" t="inlineStr">
        <is>
          <t>丁卡族戒指(質變)</t>
        </is>
      </c>
      <c r="C2" s="42">
        <f t="array" ref="C2">XLOOKUP($B2, '資料源(請謹慎編輯)'!$B:$B, '資料源(請謹慎編輯)'!C:C, 0)</f>
        <v/>
      </c>
      <c r="D2" s="43">
        <f t="array" ref="D2">XLOOKUP($B2, '資料源(請謹慎編輯)'!$B:$B, '資料源(請謹慎編輯)'!D:D, 0)</f>
        <v/>
      </c>
      <c r="E2" s="42">
        <f t="array" ref="E2">XLOOKUP($B2, '資料源(請謹慎編輯)'!$B:$B, '資料源(請謹慎編輯)'!E:E, 0)</f>
        <v/>
      </c>
      <c r="F2" s="43">
        <f t="array" ref="F2">XLOOKUP($B2, '資料源(請謹慎編輯)'!$B:$B, '資料源(請謹慎編輯)'!F:F, 0)</f>
        <v/>
      </c>
      <c r="G2" s="42">
        <f t="array" ref="G2">XLOOKUP($B2, '資料源(請謹慎編輯)'!$B:$B, '資料源(請謹慎編輯)'!G:G, 0)</f>
        <v/>
      </c>
      <c r="H2" s="43">
        <f t="array" ref="H2">XLOOKUP($B2, '資料源(請謹慎編輯)'!$B:$B, '資料源(請謹慎編輯)'!H:H, 0)</f>
        <v/>
      </c>
      <c r="I2" s="42">
        <f t="array" ref="I2">XLOOKUP($B2, '資料源(請謹慎編輯)'!$B:$B, '資料源(請謹慎編輯)'!I:I, 0)</f>
        <v/>
      </c>
      <c r="J2" s="43">
        <f t="array" ref="J2">XLOOKUP($B2, '資料源(請謹慎編輯)'!$B:$B, '資料源(請謹慎編輯)'!J:J, 0)</f>
        <v/>
      </c>
      <c r="K2" s="42">
        <f t="array" ref="K2">XLOOKUP($B2, '資料源(請謹慎編輯)'!$B:$B, '資料源(請謹慎編輯)'!K:K, 0)</f>
        <v/>
      </c>
      <c r="L2" s="43">
        <f t="array" ref="L2">XLOOKUP($B2, '資料源(請謹慎編輯)'!$B:$B, '資料源(請謹慎編輯)'!L:L, 0)</f>
        <v/>
      </c>
      <c r="M2" s="44">
        <f t="array" ref="M2">XLOOKUP($B2, '資料源(請謹慎編輯)'!$B:$B, '資料源(請謹慎編輯)'!M:M, 0)</f>
        <v/>
      </c>
      <c r="N2" s="45">
        <f t="array" ref="N2">XLOOKUP($B2, '資料源(請謹慎編輯)'!$B:$B, '資料源(請謹慎編輯)'!N:N, 0)</f>
        <v/>
      </c>
      <c r="O2" s="44">
        <f t="array" ref="O2">XLOOKUP($B2, '資料源(請謹慎編輯)'!$B:$B, '資料源(請謹慎編輯)'!O:O, 0)</f>
        <v/>
      </c>
      <c r="P2" s="45">
        <f t="array" ref="P2">XLOOKUP($B2, '資料源(請謹慎編輯)'!$B:$B, '資料源(請謹慎編輯)'!P:P, 0)</f>
        <v/>
      </c>
      <c r="Q2" s="44">
        <f t="array" ref="Q2">XLOOKUP($B2, '資料源(請謹慎編輯)'!$B:$B, '資料源(請謹慎編輯)'!Q:Q, 0)</f>
        <v/>
      </c>
      <c r="R2" s="45">
        <f t="array" ref="R2">XLOOKUP($B2, '資料源(請謹慎編輯)'!$B:$B, '資料源(請謹慎編輯)'!R:R, 0)</f>
        <v/>
      </c>
      <c r="S2" s="44">
        <f t="array" ref="S2">XLOOKUP($B2, '資料源(請謹慎編輯)'!$B:$B, '資料源(請謹慎編輯)'!S:S, 0)</f>
        <v/>
      </c>
      <c r="T2" s="45">
        <f t="array" ref="T2">XLOOKUP($B2, '資料源(請謹慎編輯)'!$B:$B, '資料源(請謹慎編輯)'!T:T, 0)</f>
        <v/>
      </c>
      <c r="U2" s="44">
        <f t="array" ref="U2">XLOOKUP($B2, '資料源(請謹慎編輯)'!$B:$B, '資料源(請謹慎編輯)'!U:U, 0)</f>
        <v/>
      </c>
      <c r="V2" s="45">
        <f t="array" ref="V2">XLOOKUP($B2, '資料源(請謹慎編輯)'!$B:$B, '資料源(請謹慎編輯)'!V:V, 0)</f>
        <v/>
      </c>
      <c r="W2" s="44">
        <f t="array" ref="W2">XLOOKUP($B2, '資料源(請謹慎編輯)'!$B:$B, '資料源(請謹慎編輯)'!W:W, 0)</f>
        <v/>
      </c>
      <c r="X2" s="45">
        <f t="array" ref="X2">XLOOKUP($B2, '資料源(請謹慎編輯)'!$B:$B, '資料源(請謹慎編輯)'!X:X, 0)</f>
        <v/>
      </c>
      <c r="Y2" s="44">
        <f t="array" ref="Y2">XLOOKUP($B2, '資料源(請謹慎編輯)'!$B:$B, '資料源(請謹慎編輯)'!Y:Y, 0)</f>
        <v/>
      </c>
      <c r="Z2" s="46">
        <f t="array" ref="Z2">XLOOKUP($B2, '資料源(請謹慎編輯)'!$B:$B, '資料源(請謹慎編輯)'!Z:Z, 0)</f>
        <v/>
      </c>
    </row>
    <row r="3" ht="18.75" customHeight="1">
      <c r="A3" s="5" t="inlineStr">
        <is>
          <t>飾品</t>
        </is>
      </c>
      <c r="B3" s="28" t="inlineStr">
        <is>
          <t>丁卡族戒指(質變)</t>
        </is>
      </c>
      <c r="C3" s="47">
        <f t="array" ref="C3">XLOOKUP($B3, '資料源(請謹慎編輯)'!$B:$B, '資料源(請謹慎編輯)'!C:C, 0)</f>
        <v/>
      </c>
      <c r="D3" s="48">
        <f t="array" ref="D3">XLOOKUP($B3, '資料源(請謹慎編輯)'!$B:$B, '資料源(請謹慎編輯)'!D:D, 0)</f>
        <v/>
      </c>
      <c r="E3" s="47">
        <f t="array" ref="E3">XLOOKUP($B3, '資料源(請謹慎編輯)'!$B:$B, '資料源(請謹慎編輯)'!E:E, 0)</f>
        <v/>
      </c>
      <c r="F3" s="48">
        <f t="array" ref="F3">XLOOKUP($B3, '資料源(請謹慎編輯)'!$B:$B, '資料源(請謹慎編輯)'!F:F, 0)</f>
        <v/>
      </c>
      <c r="G3" s="47">
        <f t="array" ref="G3">XLOOKUP($B3, '資料源(請謹慎編輯)'!$B:$B, '資料源(請謹慎編輯)'!G:G, 0)</f>
        <v/>
      </c>
      <c r="H3" s="48">
        <f t="array" ref="H3">XLOOKUP($B3, '資料源(請謹慎編輯)'!$B:$B, '資料源(請謹慎編輯)'!H:H, 0)</f>
        <v/>
      </c>
      <c r="I3" s="47">
        <f t="array" ref="I3">XLOOKUP($B3, '資料源(請謹慎編輯)'!$B:$B, '資料源(請謹慎編輯)'!I:I, 0)</f>
        <v/>
      </c>
      <c r="J3" s="48">
        <f t="array" ref="J3">XLOOKUP($B3, '資料源(請謹慎編輯)'!$B:$B, '資料源(請謹慎編輯)'!J:J, 0)</f>
        <v/>
      </c>
      <c r="K3" s="47">
        <f t="array" ref="K3">XLOOKUP($B3, '資料源(請謹慎編輯)'!$B:$B, '資料源(請謹慎編輯)'!K:K, 0)</f>
        <v/>
      </c>
      <c r="L3" s="48">
        <f t="array" ref="L3">XLOOKUP($B3, '資料源(請謹慎編輯)'!$B:$B, '資料源(請謹慎編輯)'!L:L, 0)</f>
        <v/>
      </c>
      <c r="M3" s="47">
        <f t="array" ref="M3">XLOOKUP($B3, '資料源(請謹慎編輯)'!$B:$B, '資料源(請謹慎編輯)'!M:M, 0)</f>
        <v/>
      </c>
      <c r="N3" s="48">
        <f t="array" ref="N3">XLOOKUP($B3, '資料源(請謹慎編輯)'!$B:$B, '資料源(請謹慎編輯)'!N:N, 0)</f>
        <v/>
      </c>
      <c r="O3" s="49">
        <f t="array" ref="O3">XLOOKUP($B3, '資料源(請謹慎編輯)'!$B:$B, '資料源(請謹慎編輯)'!O:O, 0)</f>
        <v/>
      </c>
      <c r="P3" s="45">
        <f t="array" ref="P3">XLOOKUP($B3, '資料源(請謹慎編輯)'!$B:$B, '資料源(請謹慎編輯)'!P:P, 0)</f>
        <v/>
      </c>
      <c r="Q3" s="44">
        <f t="array" ref="Q3">XLOOKUP($B3, '資料源(請謹慎編輯)'!$B:$B, '資料源(請謹慎編輯)'!Q:Q, 0)</f>
        <v/>
      </c>
      <c r="R3" s="45">
        <f t="array" ref="R3">XLOOKUP($B3, '資料源(請謹慎編輯)'!$B:$B, '資料源(請謹慎編輯)'!R:R, 0)</f>
        <v/>
      </c>
      <c r="S3" s="44">
        <f t="array" ref="S3">XLOOKUP($B3, '資料源(請謹慎編輯)'!$B:$B, '資料源(請謹慎編輯)'!S:S, 0)</f>
        <v/>
      </c>
      <c r="T3" s="45">
        <f t="array" ref="T3">XLOOKUP($B3, '資料源(請謹慎編輯)'!$B:$B, '資料源(請謹慎編輯)'!T:T, 0)</f>
        <v/>
      </c>
      <c r="U3" s="44">
        <f t="array" ref="U3">XLOOKUP($B3, '資料源(請謹慎編輯)'!$B:$B, '資料源(請謹慎編輯)'!U:U, 0)</f>
        <v/>
      </c>
      <c r="V3" s="45">
        <f t="array" ref="V3">XLOOKUP($B3, '資料源(請謹慎編輯)'!$B:$B, '資料源(請謹慎編輯)'!V:V, 0)</f>
        <v/>
      </c>
      <c r="W3" s="44">
        <f t="array" ref="W3">XLOOKUP($B3, '資料源(請謹慎編輯)'!$B:$B, '資料源(請謹慎編輯)'!W:W, 0)</f>
        <v/>
      </c>
      <c r="X3" s="45">
        <f t="array" ref="X3">XLOOKUP($B3, '資料源(請謹慎編輯)'!$B:$B, '資料源(請謹慎編輯)'!X:X, 0)</f>
        <v/>
      </c>
      <c r="Y3" s="44">
        <f t="array" ref="Y3">XLOOKUP($B3, '資料源(請謹慎編輯)'!$B:$B, '資料源(請謹慎編輯)'!Y:Y, 0)</f>
        <v/>
      </c>
      <c r="Z3" s="46">
        <f t="array" ref="Z3">XLOOKUP($B3, '資料源(請謹慎編輯)'!$B:$B, '資料源(請謹慎編輯)'!Z:Z, 0)</f>
        <v/>
      </c>
    </row>
    <row r="4" ht="18.75" customHeight="1">
      <c r="A4" s="5" t="inlineStr">
        <is>
          <t>寶物</t>
        </is>
      </c>
      <c r="B4" s="28" t="inlineStr">
        <is>
          <t>軍神的護身符</t>
        </is>
      </c>
      <c r="C4" s="47">
        <f t="array" ref="C4">XLOOKUP($B4, '資料源(請謹慎編輯)'!$B:$B, '資料源(請謹慎編輯)'!C:C, 0)</f>
        <v/>
      </c>
      <c r="D4" s="48">
        <f t="array" ref="D4">XLOOKUP($B4, '資料源(請謹慎編輯)'!$B:$B, '資料源(請謹慎編輯)'!D:D, 0)</f>
        <v/>
      </c>
      <c r="E4" s="47">
        <f t="array" ref="E4">XLOOKUP($B4, '資料源(請謹慎編輯)'!$B:$B, '資料源(請謹慎編輯)'!E:E, 0)</f>
        <v/>
      </c>
      <c r="F4" s="48">
        <f t="array" ref="F4">XLOOKUP($B4, '資料源(請謹慎編輯)'!$B:$B, '資料源(請謹慎編輯)'!F:F, 0)</f>
        <v/>
      </c>
      <c r="G4" s="47">
        <f t="array" ref="G4">XLOOKUP($B4, '資料源(請謹慎編輯)'!$B:$B, '資料源(請謹慎編輯)'!G:G, 0)</f>
        <v/>
      </c>
      <c r="H4" s="48">
        <f t="array" ref="H4">XLOOKUP($B4, '資料源(請謹慎編輯)'!$B:$B, '資料源(請謹慎編輯)'!H:H, 0)</f>
        <v/>
      </c>
      <c r="I4" s="47">
        <f t="array" ref="I4">XLOOKUP($B4, '資料源(請謹慎編輯)'!$B:$B, '資料源(請謹慎編輯)'!I:I, 0)</f>
        <v/>
      </c>
      <c r="J4" s="48">
        <f t="array" ref="J4">XLOOKUP($B4, '資料源(請謹慎編輯)'!$B:$B, '資料源(請謹慎編輯)'!J:J, 0)</f>
        <v/>
      </c>
      <c r="K4" s="47">
        <f t="array" ref="K4">XLOOKUP($B4, '資料源(請謹慎編輯)'!$B:$B, '資料源(請謹慎編輯)'!K:K, 0)</f>
        <v/>
      </c>
      <c r="L4" s="48">
        <f t="array" ref="L4">XLOOKUP($B4, '資料源(請謹慎編輯)'!$B:$B, '資料源(請謹慎編輯)'!L:L, 0)</f>
        <v/>
      </c>
      <c r="M4" s="47">
        <f t="array" ref="M4">XLOOKUP($B4, '資料源(請謹慎編輯)'!$B:$B, '資料源(請謹慎編輯)'!M:M, 0)</f>
        <v/>
      </c>
      <c r="N4" s="48">
        <f t="array" ref="N4">XLOOKUP($B4, '資料源(請謹慎編輯)'!$B:$B, '資料源(請謹慎編輯)'!N:N, 0)</f>
        <v/>
      </c>
      <c r="O4" s="44">
        <f t="array" ref="O4">XLOOKUP($B4, '資料源(請謹慎編輯)'!$B:$B, '資料源(請謹慎編輯)'!O:O, 0)</f>
        <v/>
      </c>
      <c r="P4" s="45">
        <f t="array" ref="P4">XLOOKUP($B4, '資料源(請謹慎編輯)'!$B:$B, '資料源(請謹慎編輯)'!P:P, 0)</f>
        <v/>
      </c>
      <c r="Q4" s="44">
        <f t="array" ref="Q4">XLOOKUP($B4, '資料源(請謹慎編輯)'!$B:$B, '資料源(請謹慎編輯)'!Q:Q, 0)</f>
        <v/>
      </c>
      <c r="R4" s="45">
        <f t="array" ref="R4">XLOOKUP($B4, '資料源(請謹慎編輯)'!$B:$B, '資料源(請謹慎編輯)'!R:R, 0)</f>
        <v/>
      </c>
      <c r="S4" s="44">
        <f t="array" ref="S4">XLOOKUP($B4, '資料源(請謹慎編輯)'!$B:$B, '資料源(請謹慎編輯)'!S:S, 0)</f>
        <v/>
      </c>
      <c r="T4" s="45">
        <f t="array" ref="T4">XLOOKUP($B4, '資料源(請謹慎編輯)'!$B:$B, '資料源(請謹慎編輯)'!T:T, 0)</f>
        <v/>
      </c>
      <c r="U4" s="44">
        <f t="array" ref="U4">XLOOKUP($B4, '資料源(請謹慎編輯)'!$B:$B, '資料源(請謹慎編輯)'!U:U, 0)</f>
        <v/>
      </c>
      <c r="V4" s="45">
        <f t="array" ref="V4">XLOOKUP($B4, '資料源(請謹慎編輯)'!$B:$B, '資料源(請謹慎編輯)'!V:V, 0)</f>
        <v/>
      </c>
      <c r="W4" s="44">
        <f t="array" ref="W4">XLOOKUP($B4, '資料源(請謹慎編輯)'!$B:$B, '資料源(請謹慎編輯)'!W:W, 0)</f>
        <v/>
      </c>
      <c r="X4" s="45">
        <f t="array" ref="X4">XLOOKUP($B4, '資料源(請謹慎編輯)'!$B:$B, '資料源(請謹慎編輯)'!X:X, 0)</f>
        <v/>
      </c>
      <c r="Y4" s="44">
        <f t="array" ref="Y4">XLOOKUP($B4, '資料源(請謹慎編輯)'!$B:$B, '資料源(請謹慎編輯)'!Y:Y, 0)</f>
        <v/>
      </c>
      <c r="Z4" s="46">
        <f t="array" ref="Z4">XLOOKUP($B4, '資料源(請謹慎編輯)'!$B:$B, '資料源(請謹慎編輯)'!Z:Z, 0)</f>
        <v/>
      </c>
    </row>
    <row r="5" ht="18.75" customHeight="1">
      <c r="A5" s="5" t="inlineStr">
        <is>
          <t>寶物</t>
        </is>
      </c>
      <c r="B5" s="28" t="inlineStr">
        <is>
          <t>軍神的護身符</t>
        </is>
      </c>
      <c r="C5" s="47">
        <f t="array" ref="C5">XLOOKUP($B5, '資料源(請謹慎編輯)'!$B:$B, '資料源(請謹慎編輯)'!C:C, 0)</f>
        <v/>
      </c>
      <c r="D5" s="48">
        <f t="array" ref="D5">XLOOKUP($B5, '資料源(請謹慎編輯)'!$B:$B, '資料源(請謹慎編輯)'!D:D, 0)</f>
        <v/>
      </c>
      <c r="E5" s="47">
        <f t="array" ref="E5">XLOOKUP($B5, '資料源(請謹慎編輯)'!$B:$B, '資料源(請謹慎編輯)'!E:E, 0)</f>
        <v/>
      </c>
      <c r="F5" s="48">
        <f t="array" ref="F5">XLOOKUP($B5, '資料源(請謹慎編輯)'!$B:$B, '資料源(請謹慎編輯)'!F:F, 0)</f>
        <v/>
      </c>
      <c r="G5" s="47">
        <f t="array" ref="G5">XLOOKUP($B5, '資料源(請謹慎編輯)'!$B:$B, '資料源(請謹慎編輯)'!G:G, 0)</f>
        <v/>
      </c>
      <c r="H5" s="48">
        <f t="array" ref="H5">XLOOKUP($B5, '資料源(請謹慎編輯)'!$B:$B, '資料源(請謹慎編輯)'!H:H, 0)</f>
        <v/>
      </c>
      <c r="I5" s="47">
        <f t="array" ref="I5">XLOOKUP($B5, '資料源(請謹慎編輯)'!$B:$B, '資料源(請謹慎編輯)'!I:I, 0)</f>
        <v/>
      </c>
      <c r="J5" s="48">
        <f t="array" ref="J5">XLOOKUP($B5, '資料源(請謹慎編輯)'!$B:$B, '資料源(請謹慎編輯)'!J:J, 0)</f>
        <v/>
      </c>
      <c r="K5" s="47">
        <f t="array" ref="K5">XLOOKUP($B5, '資料源(請謹慎編輯)'!$B:$B, '資料源(請謹慎編輯)'!K:K, 0)</f>
        <v/>
      </c>
      <c r="L5" s="48">
        <f t="array" ref="L5">XLOOKUP($B5, '資料源(請謹慎編輯)'!$B:$B, '資料源(請謹慎編輯)'!L:L, 0)</f>
        <v/>
      </c>
      <c r="M5" s="47">
        <f t="array" ref="M5">XLOOKUP($B5, '資料源(請謹慎編輯)'!$B:$B, '資料源(請謹慎編輯)'!M:M, 0)</f>
        <v/>
      </c>
      <c r="N5" s="50">
        <f t="array" ref="N5">XLOOKUP($B5, '資料源(請謹慎編輯)'!$B:$B, '資料源(請謹慎編輯)'!N:N, 0)</f>
        <v/>
      </c>
      <c r="O5" s="44">
        <f t="array" ref="O5">XLOOKUP($B5, '資料源(請謹慎編輯)'!$B:$B, '資料源(請謹慎編輯)'!O:O, 0)</f>
        <v/>
      </c>
      <c r="P5" s="45">
        <f t="array" ref="P5">XLOOKUP($B5, '資料源(請謹慎編輯)'!$B:$B, '資料源(請謹慎編輯)'!P:P, 0)</f>
        <v/>
      </c>
      <c r="Q5" s="44">
        <f t="array" ref="Q5">XLOOKUP($B5, '資料源(請謹慎編輯)'!$B:$B, '資料源(請謹慎編輯)'!Q:Q, 0)</f>
        <v/>
      </c>
      <c r="R5" s="45">
        <f t="array" ref="R5">XLOOKUP($B5, '資料源(請謹慎編輯)'!$B:$B, '資料源(請謹慎編輯)'!R:R, 0)</f>
        <v/>
      </c>
      <c r="S5" s="44">
        <f t="array" ref="S5">XLOOKUP($B5, '資料源(請謹慎編輯)'!$B:$B, '資料源(請謹慎編輯)'!S:S, 0)</f>
        <v/>
      </c>
      <c r="T5" s="45">
        <f t="array" ref="T5">XLOOKUP($B5, '資料源(請謹慎編輯)'!$B:$B, '資料源(請謹慎編輯)'!T:T, 0)</f>
        <v/>
      </c>
      <c r="U5" s="44">
        <f t="array" ref="U5">XLOOKUP($B5, '資料源(請謹慎編輯)'!$B:$B, '資料源(請謹慎編輯)'!U:U, 0)</f>
        <v/>
      </c>
      <c r="V5" s="45">
        <f t="array" ref="V5">XLOOKUP($B5, '資料源(請謹慎編輯)'!$B:$B, '資料源(請謹慎編輯)'!V:V, 0)</f>
        <v/>
      </c>
      <c r="W5" s="44">
        <f t="array" ref="W5">XLOOKUP($B5, '資料源(請謹慎編輯)'!$B:$B, '資料源(請謹慎編輯)'!W:W, 0)</f>
        <v/>
      </c>
      <c r="X5" s="45">
        <f t="array" ref="X5">XLOOKUP($B5, '資料源(請謹慎編輯)'!$B:$B, '資料源(請謹慎編輯)'!X:X, 0)</f>
        <v/>
      </c>
      <c r="Y5" s="44">
        <f t="array" ref="Y5">XLOOKUP($B5, '資料源(請謹慎編輯)'!$B:$B, '資料源(請謹慎編輯)'!Y:Y, 0)</f>
        <v/>
      </c>
      <c r="Z5" s="46">
        <f t="array" ref="Z5">XLOOKUP($B5, '資料源(請謹慎編輯)'!$B:$B, '資料源(請謹慎編輯)'!Z:Z, 0)</f>
        <v/>
      </c>
    </row>
    <row r="6" ht="18.75" customHeight="1">
      <c r="A6" s="5" t="inlineStr">
        <is>
          <t>主武</t>
        </is>
      </c>
      <c r="B6" s="28" t="inlineStr">
        <is>
          <t>西班牙將軍的權杖</t>
        </is>
      </c>
      <c r="C6" s="49">
        <f t="array" ref="C6">XLOOKUP($B6, '資料源(請謹慎編輯)'!$B:$B, '資料源(請謹慎編輯)'!C:C, 0)</f>
        <v/>
      </c>
      <c r="D6" s="50">
        <f t="array" ref="D6">XLOOKUP($B6, '資料源(請謹慎編輯)'!$B:$B, '資料源(請謹慎編輯)'!D:D, 0)</f>
        <v/>
      </c>
      <c r="E6" s="49">
        <f t="array" ref="E6">XLOOKUP($B6, '資料源(請謹慎編輯)'!$B:$B, '資料源(請謹慎編輯)'!E:E, 0)</f>
        <v/>
      </c>
      <c r="F6" s="50">
        <f t="array" ref="F6">XLOOKUP($B6, '資料源(請謹慎編輯)'!$B:$B, '資料源(請謹慎編輯)'!F:F, 0)</f>
        <v/>
      </c>
      <c r="G6" s="49">
        <f t="array" ref="G6">XLOOKUP($B6, '資料源(請謹慎編輯)'!$B:$B, '資料源(請謹慎編輯)'!G:G, 0)</f>
        <v/>
      </c>
      <c r="H6" s="50">
        <f t="array" ref="H6">XLOOKUP($B6, '資料源(請謹慎編輯)'!$B:$B, '資料源(請謹慎編輯)'!H:H, 0)</f>
        <v/>
      </c>
      <c r="I6" s="49">
        <f t="array" ref="I6">XLOOKUP($B6, '資料源(請謹慎編輯)'!$B:$B, '資料源(請謹慎編輯)'!I:I, 0)</f>
        <v/>
      </c>
      <c r="J6" s="50">
        <f t="array" ref="J6">XLOOKUP($B6, '資料源(請謹慎編輯)'!$B:$B, '資料源(請謹慎編輯)'!J:J, 0)</f>
        <v/>
      </c>
      <c r="K6" s="49">
        <f t="array" ref="K6">XLOOKUP($B6, '資料源(請謹慎編輯)'!$B:$B, '資料源(請謹慎編輯)'!K:K, 0)</f>
        <v/>
      </c>
      <c r="L6" s="50">
        <f t="array" ref="L6">XLOOKUP($B6, '資料源(請謹慎編輯)'!$B:$B, '資料源(請謹慎編輯)'!L:L, 0)</f>
        <v/>
      </c>
      <c r="M6" s="49">
        <f t="array" ref="M6">XLOOKUP($B6, '資料源(請謹慎編輯)'!$B:$B, '資料源(請謹慎編輯)'!M:M, 0)</f>
        <v/>
      </c>
      <c r="N6" s="50">
        <f t="array" ref="N6">XLOOKUP($B6, '資料源(請謹慎編輯)'!$B:$B, '資料源(請謹慎編輯)'!N:N, 0)</f>
        <v/>
      </c>
      <c r="O6" s="44">
        <f t="array" ref="O6">XLOOKUP($B6, '資料源(請謹慎編輯)'!$B:$B, '資料源(請謹慎編輯)'!O:O, 0)</f>
        <v/>
      </c>
      <c r="P6" s="45">
        <f t="array" ref="P6">XLOOKUP($B6, '資料源(請謹慎編輯)'!$B:$B, '資料源(請謹慎編輯)'!P:P, 0)</f>
        <v/>
      </c>
      <c r="Q6" s="44">
        <f t="array" ref="Q6">XLOOKUP($B6, '資料源(請謹慎編輯)'!$B:$B, '資料源(請謹慎編輯)'!Q:Q, 0)</f>
        <v/>
      </c>
      <c r="R6" s="45">
        <f t="array" ref="R6">XLOOKUP($B6, '資料源(請謹慎編輯)'!$B:$B, '資料源(請謹慎編輯)'!R:R, 0)</f>
        <v/>
      </c>
      <c r="S6" s="44">
        <f t="array" ref="S6">XLOOKUP($B6, '資料源(請謹慎編輯)'!$B:$B, '資料源(請謹慎編輯)'!S:S, 0)</f>
        <v/>
      </c>
      <c r="T6" s="45">
        <f t="array" ref="T6">XLOOKUP($B6, '資料源(請謹慎編輯)'!$B:$B, '資料源(請謹慎編輯)'!T:T, 0)</f>
        <v/>
      </c>
      <c r="U6" s="44">
        <f t="array" ref="U6">XLOOKUP($B6, '資料源(請謹慎編輯)'!$B:$B, '資料源(請謹慎編輯)'!U:U, 0)</f>
        <v/>
      </c>
      <c r="V6" s="45">
        <f t="array" ref="V6">XLOOKUP($B6, '資料源(請謹慎編輯)'!$B:$B, '資料源(請謹慎編輯)'!V:V, 0)</f>
        <v/>
      </c>
      <c r="W6" s="44">
        <f t="array" ref="W6">XLOOKUP($B6, '資料源(請謹慎編輯)'!$B:$B, '資料源(請謹慎編輯)'!W:W, 0)</f>
        <v/>
      </c>
      <c r="X6" s="45">
        <f t="array" ref="X6">XLOOKUP($B6, '資料源(請謹慎編輯)'!$B:$B, '資料源(請謹慎編輯)'!X:X, 0)</f>
        <v/>
      </c>
      <c r="Y6" s="44">
        <f t="array" ref="Y6">XLOOKUP($B6, '資料源(請謹慎編輯)'!$B:$B, '資料源(請謹慎編輯)'!Y:Y, 0)</f>
        <v/>
      </c>
      <c r="Z6" s="46">
        <f t="array" ref="Z6">XLOOKUP($B6, '資料源(請謹慎編輯)'!$B:$B, '資料源(請謹慎編輯)'!Z:Z, 0)</f>
        <v/>
      </c>
    </row>
    <row r="7" ht="18.75" customHeight="1">
      <c r="A7" s="5" t="inlineStr">
        <is>
          <t>副武</t>
        </is>
      </c>
      <c r="B7" s="28" t="inlineStr">
        <is>
          <t>波斯單刃短劍</t>
        </is>
      </c>
      <c r="C7" s="49">
        <f t="array" ref="C7">XLOOKUP($B7, '資料源(請謹慎編輯)'!$B:$B, '資料源(請謹慎編輯)'!C:C, 0)</f>
        <v/>
      </c>
      <c r="D7" s="50">
        <f t="array" ref="D7">XLOOKUP($B7, '資料源(請謹慎編輯)'!$B:$B, '資料源(請謹慎編輯)'!D:D, 0)</f>
        <v/>
      </c>
      <c r="E7" s="49">
        <f t="array" ref="E7">XLOOKUP($B7, '資料源(請謹慎編輯)'!$B:$B, '資料源(請謹慎編輯)'!E:E, 0)</f>
        <v/>
      </c>
      <c r="F7" s="50">
        <f t="array" ref="F7">XLOOKUP($B7, '資料源(請謹慎編輯)'!$B:$B, '資料源(請謹慎編輯)'!F:F, 0)</f>
        <v/>
      </c>
      <c r="G7" s="49">
        <f t="array" ref="G7">XLOOKUP($B7, '資料源(請謹慎編輯)'!$B:$B, '資料源(請謹慎編輯)'!G:G, 0)</f>
        <v/>
      </c>
      <c r="H7" s="50">
        <f t="array" ref="H7">XLOOKUP($B7, '資料源(請謹慎編輯)'!$B:$B, '資料源(請謹慎編輯)'!H:H, 0)</f>
        <v/>
      </c>
      <c r="I7" s="49">
        <f t="array" ref="I7">XLOOKUP($B7, '資料源(請謹慎編輯)'!$B:$B, '資料源(請謹慎編輯)'!I:I, 0)</f>
        <v/>
      </c>
      <c r="J7" s="50">
        <f t="array" ref="J7">XLOOKUP($B7, '資料源(請謹慎編輯)'!$B:$B, '資料源(請謹慎編輯)'!J:J, 0)</f>
        <v/>
      </c>
      <c r="K7" s="49">
        <f t="array" ref="K7">XLOOKUP($B7, '資料源(請謹慎編輯)'!$B:$B, '資料源(請謹慎編輯)'!K:K, 0)</f>
        <v/>
      </c>
      <c r="L7" s="50">
        <f t="array" ref="L7">XLOOKUP($B7, '資料源(請謹慎編輯)'!$B:$B, '資料源(請謹慎編輯)'!L:L, 0)</f>
        <v/>
      </c>
      <c r="M7" s="49">
        <f t="array" ref="M7">XLOOKUP($B7, '資料源(請謹慎編輯)'!$B:$B, '資料源(請謹慎編輯)'!M:M, 0)</f>
        <v/>
      </c>
      <c r="N7" s="50">
        <f t="array" ref="N7">XLOOKUP($B7, '資料源(請謹慎編輯)'!$B:$B, '資料源(請謹慎編輯)'!N:N, 0)</f>
        <v/>
      </c>
      <c r="O7" s="44">
        <f t="array" ref="O7">XLOOKUP($B7, '資料源(請謹慎編輯)'!$B:$B, '資料源(請謹慎編輯)'!O:O, 0)</f>
        <v/>
      </c>
      <c r="P7" s="45">
        <f t="array" ref="P7">XLOOKUP($B7, '資料源(請謹慎編輯)'!$B:$B, '資料源(請謹慎編輯)'!P:P, 0)</f>
        <v/>
      </c>
      <c r="Q7" s="44">
        <f t="array" ref="Q7">XLOOKUP($B7, '資料源(請謹慎編輯)'!$B:$B, '資料源(請謹慎編輯)'!Q:Q, 0)</f>
        <v/>
      </c>
      <c r="R7" s="45">
        <f t="array" ref="R7">XLOOKUP($B7, '資料源(請謹慎編輯)'!$B:$B, '資料源(請謹慎編輯)'!R:R, 0)</f>
        <v/>
      </c>
      <c r="S7" s="44">
        <f t="array" ref="S7">XLOOKUP($B7, '資料源(請謹慎編輯)'!$B:$B, '資料源(請謹慎編輯)'!S:S, 0)</f>
        <v/>
      </c>
      <c r="T7" s="45">
        <f t="array" ref="T7">XLOOKUP($B7, '資料源(請謹慎編輯)'!$B:$B, '資料源(請謹慎編輯)'!T:T, 0)</f>
        <v/>
      </c>
      <c r="U7" s="44">
        <f t="array" ref="U7">XLOOKUP($B7, '資料源(請謹慎編輯)'!$B:$B, '資料源(請謹慎編輯)'!U:U, 0)</f>
        <v/>
      </c>
      <c r="V7" s="45">
        <f t="array" ref="V7">XLOOKUP($B7, '資料源(請謹慎編輯)'!$B:$B, '資料源(請謹慎編輯)'!V:V, 0)</f>
        <v/>
      </c>
      <c r="W7" s="44">
        <f t="array" ref="W7">XLOOKUP($B7, '資料源(請謹慎編輯)'!$B:$B, '資料源(請謹慎編輯)'!W:W, 0)</f>
        <v/>
      </c>
      <c r="X7" s="45">
        <f t="array" ref="X7">XLOOKUP($B7, '資料源(請謹慎編輯)'!$B:$B, '資料源(請謹慎編輯)'!X:X, 0)</f>
        <v/>
      </c>
      <c r="Y7" s="44">
        <f t="array" ref="Y7">XLOOKUP($B7, '資料源(請謹慎編輯)'!$B:$B, '資料源(請謹慎編輯)'!Y:Y, 0)</f>
        <v/>
      </c>
      <c r="Z7" s="46">
        <f t="array" ref="Z7">XLOOKUP($B7, '資料源(請謹慎編輯)'!$B:$B, '資料源(請謹慎編輯)'!Z:Z, 0)</f>
        <v/>
      </c>
    </row>
    <row r="8" ht="18.75" customHeight="1">
      <c r="A8" s="5" t="inlineStr">
        <is>
          <t>頭盔</t>
        </is>
      </c>
      <c r="B8" s="28" t="inlineStr">
        <is>
          <t>阿爾維達的頭盔</t>
        </is>
      </c>
      <c r="C8" s="49">
        <f t="array" ref="C8">XLOOKUP($B8, '資料源(請謹慎編輯)'!$B:$B, '資料源(請謹慎編輯)'!C:C, 0)</f>
        <v/>
      </c>
      <c r="D8" s="50">
        <f t="array" ref="D8">XLOOKUP($B8, '資料源(請謹慎編輯)'!$B:$B, '資料源(請謹慎編輯)'!D:D, 0)</f>
        <v/>
      </c>
      <c r="E8" s="49">
        <f t="array" ref="E8">XLOOKUP($B8, '資料源(請謹慎編輯)'!$B:$B, '資料源(請謹慎編輯)'!E:E, 0)</f>
        <v/>
      </c>
      <c r="F8" s="50">
        <f t="array" ref="F8">XLOOKUP($B8, '資料源(請謹慎編輯)'!$B:$B, '資料源(請謹慎編輯)'!F:F, 0)</f>
        <v/>
      </c>
      <c r="G8" s="49">
        <f t="array" ref="G8">XLOOKUP($B8, '資料源(請謹慎編輯)'!$B:$B, '資料源(請謹慎編輯)'!G:G, 0)</f>
        <v/>
      </c>
      <c r="H8" s="50">
        <f t="array" ref="H8">XLOOKUP($B8, '資料源(請謹慎編輯)'!$B:$B, '資料源(請謹慎編輯)'!H:H, 0)</f>
        <v/>
      </c>
      <c r="I8" s="49">
        <f t="array" ref="I8">XLOOKUP($B8, '資料源(請謹慎編輯)'!$B:$B, '資料源(請謹慎編輯)'!I:I, 0)</f>
        <v/>
      </c>
      <c r="J8" s="50">
        <f t="array" ref="J8">XLOOKUP($B8, '資料源(請謹慎編輯)'!$B:$B, '資料源(請謹慎編輯)'!J:J, 0)</f>
        <v/>
      </c>
      <c r="K8" s="49">
        <f t="array" ref="K8">XLOOKUP($B8, '資料源(請謹慎編輯)'!$B:$B, '資料源(請謹慎編輯)'!K:K, 0)</f>
        <v/>
      </c>
      <c r="L8" s="50">
        <f t="array" ref="L8">XLOOKUP($B8, '資料源(請謹慎編輯)'!$B:$B, '資料源(請謹慎編輯)'!L:L, 0)</f>
        <v/>
      </c>
      <c r="M8" s="49">
        <f t="array" ref="M8">XLOOKUP($B8, '資料源(請謹慎編輯)'!$B:$B, '資料源(請謹慎編輯)'!M:M, 0)</f>
        <v/>
      </c>
      <c r="N8" s="50">
        <f t="array" ref="N8">XLOOKUP($B8, '資料源(請謹慎編輯)'!$B:$B, '資料源(請謹慎編輯)'!N:N, 0)</f>
        <v/>
      </c>
      <c r="O8" s="44">
        <f t="array" ref="O8">XLOOKUP($B8, '資料源(請謹慎編輯)'!$B:$B, '資料源(請謹慎編輯)'!O:O, 0)</f>
        <v/>
      </c>
      <c r="P8" s="45">
        <f t="array" ref="P8">XLOOKUP($B8, '資料源(請謹慎編輯)'!$B:$B, '資料源(請謹慎編輯)'!P:P, 0)</f>
        <v/>
      </c>
      <c r="Q8" s="44">
        <f t="array" ref="Q8">XLOOKUP($B8, '資料源(請謹慎編輯)'!$B:$B, '資料源(請謹慎編輯)'!Q:Q, 0)</f>
        <v/>
      </c>
      <c r="R8" s="45">
        <f t="array" ref="R8">XLOOKUP($B8, '資料源(請謹慎編輯)'!$B:$B, '資料源(請謹慎編輯)'!R:R, 0)</f>
        <v/>
      </c>
      <c r="S8" s="44">
        <f t="array" ref="S8">XLOOKUP($B8, '資料源(請謹慎編輯)'!$B:$B, '資料源(請謹慎編輯)'!S:S, 0)</f>
        <v/>
      </c>
      <c r="T8" s="45">
        <f t="array" ref="T8">XLOOKUP($B8, '資料源(請謹慎編輯)'!$B:$B, '資料源(請謹慎編輯)'!T:T, 0)</f>
        <v/>
      </c>
      <c r="U8" s="44">
        <f t="array" ref="U8">XLOOKUP($B8, '資料源(請謹慎編輯)'!$B:$B, '資料源(請謹慎編輯)'!U:U, 0)</f>
        <v/>
      </c>
      <c r="V8" s="45">
        <f t="array" ref="V8">XLOOKUP($B8, '資料源(請謹慎編輯)'!$B:$B, '資料源(請謹慎編輯)'!V:V, 0)</f>
        <v/>
      </c>
      <c r="W8" s="44">
        <f t="array" ref="W8">XLOOKUP($B8, '資料源(請謹慎編輯)'!$B:$B, '資料源(請謹慎編輯)'!W:W, 0)</f>
        <v/>
      </c>
      <c r="X8" s="45">
        <f t="array" ref="X8">XLOOKUP($B8, '資料源(請謹慎編輯)'!$B:$B, '資料源(請謹慎編輯)'!X:X, 0)</f>
        <v/>
      </c>
      <c r="Y8" s="44">
        <f t="array" ref="Y8">XLOOKUP($B8, '資料源(請謹慎編輯)'!$B:$B, '資料源(請謹慎編輯)'!Y:Y, 0)</f>
        <v/>
      </c>
      <c r="Z8" s="46">
        <f t="array" ref="Z8">XLOOKUP($B8, '資料源(請謹慎編輯)'!$B:$B, '資料源(請謹慎編輯)'!Z:Z, 0)</f>
        <v/>
      </c>
    </row>
    <row r="9" ht="18.75" customHeight="1">
      <c r="A9" s="5" t="inlineStr">
        <is>
          <t>衣服</t>
        </is>
      </c>
      <c r="B9" s="28" t="inlineStr">
        <is>
          <t>海軍上將胸甲</t>
        </is>
      </c>
      <c r="C9" s="42">
        <f t="array" ref="C9">XLOOKUP($B9, '資料源(請謹慎編輯)'!$B:$B, '資料源(請謹慎編輯)'!C:C, 0)</f>
        <v/>
      </c>
      <c r="D9" s="43">
        <f t="array" ref="D9">XLOOKUP($B9, '資料源(請謹慎編輯)'!$B:$B, '資料源(請謹慎編輯)'!D:D, 0)</f>
        <v/>
      </c>
      <c r="E9" s="42">
        <f t="array" ref="E9">XLOOKUP($B9, '資料源(請謹慎編輯)'!$B:$B, '資料源(請謹慎編輯)'!E:E, 0)</f>
        <v/>
      </c>
      <c r="F9" s="43">
        <f t="array" ref="F9">XLOOKUP($B9, '資料源(請謹慎編輯)'!$B:$B, '資料源(請謹慎編輯)'!F:F, 0)</f>
        <v/>
      </c>
      <c r="G9" s="42">
        <f t="array" ref="G9">XLOOKUP($B9, '資料源(請謹慎編輯)'!$B:$B, '資料源(請謹慎編輯)'!G:G, 0)</f>
        <v/>
      </c>
      <c r="H9" s="43">
        <f t="array" ref="H9">XLOOKUP($B9, '資料源(請謹慎編輯)'!$B:$B, '資料源(請謹慎編輯)'!H:H, 0)</f>
        <v/>
      </c>
      <c r="I9" s="42">
        <f t="array" ref="I9">XLOOKUP($B9, '資料源(請謹慎編輯)'!$B:$B, '資料源(請謹慎編輯)'!I:I, 0)</f>
        <v/>
      </c>
      <c r="J9" s="43">
        <f t="array" ref="J9">XLOOKUP($B9, '資料源(請謹慎編輯)'!$B:$B, '資料源(請謹慎編輯)'!J:J, 0)</f>
        <v/>
      </c>
      <c r="K9" s="42">
        <f t="array" ref="K9">XLOOKUP($B9, '資料源(請謹慎編輯)'!$B:$B, '資料源(請謹慎編輯)'!K:K, 0)</f>
        <v/>
      </c>
      <c r="L9" s="43">
        <f t="array" ref="L9">XLOOKUP($B9, '資料源(請謹慎編輯)'!$B:$B, '資料源(請謹慎編輯)'!L:L, 0)</f>
        <v/>
      </c>
      <c r="M9" s="42">
        <f t="array" ref="M9">XLOOKUP($B9, '資料源(請謹慎編輯)'!$B:$B, '資料源(請謹慎編輯)'!M:M, 0)</f>
        <v/>
      </c>
      <c r="N9" s="43">
        <f t="array" ref="N9">XLOOKUP($B9, '資料源(請謹慎編輯)'!$B:$B, '資料源(請謹慎編輯)'!N:N, 0)</f>
        <v/>
      </c>
      <c r="O9" s="44">
        <f t="array" ref="O9">XLOOKUP($B9, '資料源(請謹慎編輯)'!$B:$B, '資料源(請謹慎編輯)'!O:O, 0)</f>
        <v/>
      </c>
      <c r="P9" s="45">
        <f t="array" ref="P9">XLOOKUP($B9, '資料源(請謹慎編輯)'!$B:$B, '資料源(請謹慎編輯)'!P:P, 0)</f>
        <v/>
      </c>
      <c r="Q9" s="44">
        <f t="array" ref="Q9">XLOOKUP($B9, '資料源(請謹慎編輯)'!$B:$B, '資料源(請謹慎編輯)'!Q:Q, 0)</f>
        <v/>
      </c>
      <c r="R9" s="45">
        <f t="array" ref="R9">XLOOKUP($B9, '資料源(請謹慎編輯)'!$B:$B, '資料源(請謹慎編輯)'!R:R, 0)</f>
        <v/>
      </c>
      <c r="S9" s="44">
        <f t="array" ref="S9">XLOOKUP($B9, '資料源(請謹慎編輯)'!$B:$B, '資料源(請謹慎編輯)'!S:S, 0)</f>
        <v/>
      </c>
      <c r="T9" s="45">
        <f t="array" ref="T9">XLOOKUP($B9, '資料源(請謹慎編輯)'!$B:$B, '資料源(請謹慎編輯)'!T:T, 0)</f>
        <v/>
      </c>
      <c r="U9" s="44">
        <f t="array" ref="U9">XLOOKUP($B9, '資料源(請謹慎編輯)'!$B:$B, '資料源(請謹慎編輯)'!U:U, 0)</f>
        <v/>
      </c>
      <c r="V9" s="45">
        <f t="array" ref="V9">XLOOKUP($B9, '資料源(請謹慎編輯)'!$B:$B, '資料源(請謹慎編輯)'!V:V, 0)</f>
        <v/>
      </c>
      <c r="W9" s="44">
        <f t="array" ref="W9">XLOOKUP($B9, '資料源(請謹慎編輯)'!$B:$B, '資料源(請謹慎編輯)'!W:W, 0)</f>
        <v/>
      </c>
      <c r="X9" s="45">
        <f t="array" ref="X9">XLOOKUP($B9, '資料源(請謹慎編輯)'!$B:$B, '資料源(請謹慎編輯)'!X:X, 0)</f>
        <v/>
      </c>
      <c r="Y9" s="44">
        <f t="array" ref="Y9">XLOOKUP($B9, '資料源(請謹慎編輯)'!$B:$B, '資料源(請謹慎編輯)'!Y:Y, 0)</f>
        <v/>
      </c>
      <c r="Z9" s="46">
        <f t="array" ref="Z9">XLOOKUP($B9, '資料源(請謹慎編輯)'!$B:$B, '資料源(請謹慎編輯)'!Z:Z, 0)</f>
        <v/>
      </c>
    </row>
    <row r="10" ht="18.75" customHeight="1">
      <c r="A10" s="5" t="inlineStr">
        <is>
          <t>手套</t>
        </is>
      </c>
      <c r="B10" s="28" t="inlineStr">
        <is>
          <t>司令官手套(質變)</t>
        </is>
      </c>
      <c r="C10" s="49">
        <f t="array" ref="C10">XLOOKUP($B10, '資料源(請謹慎編輯)'!$B:$B, '資料源(請謹慎編輯)'!C:C, 0)</f>
        <v/>
      </c>
      <c r="D10" s="50">
        <f t="array" ref="D10">XLOOKUP($B10, '資料源(請謹慎編輯)'!$B:$B, '資料源(請謹慎編輯)'!D:D, 0)</f>
        <v/>
      </c>
      <c r="E10" s="49">
        <f t="array" ref="E10">XLOOKUP($B10, '資料源(請謹慎編輯)'!$B:$B, '資料源(請謹慎編輯)'!E:E, 0)</f>
        <v/>
      </c>
      <c r="F10" s="50">
        <f t="array" ref="F10">XLOOKUP($B10, '資料源(請謹慎編輯)'!$B:$B, '資料源(請謹慎編輯)'!F:F, 0)</f>
        <v/>
      </c>
      <c r="G10" s="49">
        <f t="array" ref="G10">XLOOKUP($B10, '資料源(請謹慎編輯)'!$B:$B, '資料源(請謹慎編輯)'!G:G, 0)</f>
        <v/>
      </c>
      <c r="H10" s="50">
        <f t="array" ref="H10">XLOOKUP($B10, '資料源(請謹慎編輯)'!$B:$B, '資料源(請謹慎編輯)'!H:H, 0)</f>
        <v/>
      </c>
      <c r="I10" s="49">
        <f t="array" ref="I10">XLOOKUP($B10, '資料源(請謹慎編輯)'!$B:$B, '資料源(請謹慎編輯)'!I:I, 0)</f>
        <v/>
      </c>
      <c r="J10" s="50">
        <f t="array" ref="J10">XLOOKUP($B10, '資料源(請謹慎編輯)'!$B:$B, '資料源(請謹慎編輯)'!J:J, 0)</f>
        <v/>
      </c>
      <c r="K10" s="49">
        <f t="array" ref="K10">XLOOKUP($B10, '資料源(請謹慎編輯)'!$B:$B, '資料源(請謹慎編輯)'!K:K, 0)</f>
        <v/>
      </c>
      <c r="L10" s="50">
        <f t="array" ref="L10">XLOOKUP($B10, '資料源(請謹慎編輯)'!$B:$B, '資料源(請謹慎編輯)'!L:L, 0)</f>
        <v/>
      </c>
      <c r="M10" s="49">
        <f t="array" ref="M10">XLOOKUP($B10, '資料源(請謹慎編輯)'!$B:$B, '資料源(請謹慎編輯)'!M:M, 0)</f>
        <v/>
      </c>
      <c r="N10" s="50">
        <f t="array" ref="N10">XLOOKUP($B10, '資料源(請謹慎編輯)'!$B:$B, '資料源(請謹慎編輯)'!N:N, 0)</f>
        <v/>
      </c>
      <c r="O10" s="44">
        <f t="array" ref="O10">XLOOKUP($B10, '資料源(請謹慎編輯)'!$B:$B, '資料源(請謹慎編輯)'!O:O, 0)</f>
        <v/>
      </c>
      <c r="P10" s="45">
        <f t="array" ref="P10">XLOOKUP($B10, '資料源(請謹慎編輯)'!$B:$B, '資料源(請謹慎編輯)'!P:P, 0)</f>
        <v/>
      </c>
      <c r="Q10" s="44">
        <f t="array" ref="Q10">XLOOKUP($B10, '資料源(請謹慎編輯)'!$B:$B, '資料源(請謹慎編輯)'!Q:Q, 0)</f>
        <v/>
      </c>
      <c r="R10" s="45">
        <f t="array" ref="R10">XLOOKUP($B10, '資料源(請謹慎編輯)'!$B:$B, '資料源(請謹慎編輯)'!R:R, 0)</f>
        <v/>
      </c>
      <c r="S10" s="44">
        <f t="array" ref="S10">XLOOKUP($B10, '資料源(請謹慎編輯)'!$B:$B, '資料源(請謹慎編輯)'!S:S, 0)</f>
        <v/>
      </c>
      <c r="T10" s="45">
        <f t="array" ref="T10">XLOOKUP($B10, '資料源(請謹慎編輯)'!$B:$B, '資料源(請謹慎編輯)'!T:T, 0)</f>
        <v/>
      </c>
      <c r="U10" s="44">
        <f t="array" ref="U10">XLOOKUP($B10, '資料源(請謹慎編輯)'!$B:$B, '資料源(請謹慎編輯)'!U:U, 0)</f>
        <v/>
      </c>
      <c r="V10" s="45">
        <f t="array" ref="V10">XLOOKUP($B10, '資料源(請謹慎編輯)'!$B:$B, '資料源(請謹慎編輯)'!V:V, 0)</f>
        <v/>
      </c>
      <c r="W10" s="44">
        <f t="array" ref="W10">XLOOKUP($B10, '資料源(請謹慎編輯)'!$B:$B, '資料源(請謹慎編輯)'!W:W, 0)</f>
        <v/>
      </c>
      <c r="X10" s="45">
        <f t="array" ref="X10">XLOOKUP($B10, '資料源(請謹慎編輯)'!$B:$B, '資料源(請謹慎編輯)'!X:X, 0)</f>
        <v/>
      </c>
      <c r="Y10" s="44">
        <f t="array" ref="Y10">XLOOKUP($B10, '資料源(請謹慎編輯)'!$B:$B, '資料源(請謹慎編輯)'!Y:Y, 0)</f>
        <v/>
      </c>
      <c r="Z10" s="46">
        <f t="array" ref="Z10">XLOOKUP($B10, '資料源(請謹慎編輯)'!$B:$B, '資料源(請謹慎編輯)'!Z:Z, 0)</f>
        <v/>
      </c>
    </row>
    <row r="11" ht="18.75" customHeight="1">
      <c r="A11" s="5" t="inlineStr">
        <is>
          <t>鞋子</t>
        </is>
      </c>
      <c r="B11" s="28" t="inlineStr">
        <is>
          <t>提督長筒靴(質變)</t>
        </is>
      </c>
      <c r="C11" s="49">
        <f t="array" ref="C11">XLOOKUP($B11, '資料源(請謹慎編輯)'!$B:$B, '資料源(請謹慎編輯)'!C:C, 0)</f>
        <v/>
      </c>
      <c r="D11" s="50">
        <f t="array" ref="D11">XLOOKUP($B11, '資料源(請謹慎編輯)'!$B:$B, '資料源(請謹慎編輯)'!D:D, 0)</f>
        <v/>
      </c>
      <c r="E11" s="49">
        <f t="array" ref="E11">XLOOKUP($B11, '資料源(請謹慎編輯)'!$B:$B, '資料源(請謹慎編輯)'!E:E, 0)</f>
        <v/>
      </c>
      <c r="F11" s="50">
        <f t="array" ref="F11">XLOOKUP($B11, '資料源(請謹慎編輯)'!$B:$B, '資料源(請謹慎編輯)'!F:F, 0)</f>
        <v/>
      </c>
      <c r="G11" s="49">
        <f t="array" ref="G11">XLOOKUP($B11, '資料源(請謹慎編輯)'!$B:$B, '資料源(請謹慎編輯)'!G:G, 0)</f>
        <v/>
      </c>
      <c r="H11" s="50">
        <f t="array" ref="H11">XLOOKUP($B11, '資料源(請謹慎編輯)'!$B:$B, '資料源(請謹慎編輯)'!H:H, 0)</f>
        <v/>
      </c>
      <c r="I11" s="49">
        <f t="array" ref="I11">XLOOKUP($B11, '資料源(請謹慎編輯)'!$B:$B, '資料源(請謹慎編輯)'!I:I, 0)</f>
        <v/>
      </c>
      <c r="J11" s="50">
        <f t="array" ref="J11">XLOOKUP($B11, '資料源(請謹慎編輯)'!$B:$B, '資料源(請謹慎編輯)'!J:J, 0)</f>
        <v/>
      </c>
      <c r="K11" s="49">
        <f t="array" ref="K11">XLOOKUP($B11, '資料源(請謹慎編輯)'!$B:$B, '資料源(請謹慎編輯)'!K:K, 0)</f>
        <v/>
      </c>
      <c r="L11" s="50">
        <f t="array" ref="L11">XLOOKUP($B11, '資料源(請謹慎編輯)'!$B:$B, '資料源(請謹慎編輯)'!L:L, 0)</f>
        <v/>
      </c>
      <c r="M11" s="49">
        <f t="array" ref="M11">XLOOKUP($B11, '資料源(請謹慎編輯)'!$B:$B, '資料源(請謹慎編輯)'!M:M, 0)</f>
        <v/>
      </c>
      <c r="N11" s="50">
        <f t="array" ref="N11">XLOOKUP($B11, '資料源(請謹慎編輯)'!$B:$B, '資料源(請謹慎編輯)'!N:N, 0)</f>
        <v/>
      </c>
      <c r="O11" s="44">
        <f t="array" ref="O11">XLOOKUP($B11, '資料源(請謹慎編輯)'!$B:$B, '資料源(請謹慎編輯)'!O:O, 0)</f>
        <v/>
      </c>
      <c r="P11" s="45">
        <f t="array" ref="P11">XLOOKUP($B11, '資料源(請謹慎編輯)'!$B:$B, '資料源(請謹慎編輯)'!P:P, 0)</f>
        <v/>
      </c>
      <c r="Q11" s="44">
        <f t="array" ref="Q11">XLOOKUP($B11, '資料源(請謹慎編輯)'!$B:$B, '資料源(請謹慎編輯)'!Q:Q, 0)</f>
        <v/>
      </c>
      <c r="R11" s="45">
        <f t="array" ref="R11">XLOOKUP($B11, '資料源(請謹慎編輯)'!$B:$B, '資料源(請謹慎編輯)'!R:R, 0)</f>
        <v/>
      </c>
      <c r="S11" s="44">
        <f t="array" ref="S11">XLOOKUP($B11, '資料源(請謹慎編輯)'!$B:$B, '資料源(請謹慎編輯)'!S:S, 0)</f>
        <v/>
      </c>
      <c r="T11" s="45">
        <f t="array" ref="T11">XLOOKUP($B11, '資料源(請謹慎編輯)'!$B:$B, '資料源(請謹慎編輯)'!T:T, 0)</f>
        <v/>
      </c>
      <c r="U11" s="44">
        <f t="array" ref="U11">XLOOKUP($B11, '資料源(請謹慎編輯)'!$B:$B, '資料源(請謹慎編輯)'!U:U, 0)</f>
        <v/>
      </c>
      <c r="V11" s="45">
        <f t="array" ref="V11">XLOOKUP($B11, '資料源(請謹慎編輯)'!$B:$B, '資料源(請謹慎編輯)'!V:V, 0)</f>
        <v/>
      </c>
      <c r="W11" s="44">
        <f t="array" ref="W11">XLOOKUP($B11, '資料源(請謹慎編輯)'!$B:$B, '資料源(請謹慎編輯)'!W:W, 0)</f>
        <v/>
      </c>
      <c r="X11" s="45">
        <f t="array" ref="X11">XLOOKUP($B11, '資料源(請謹慎編輯)'!$B:$B, '資料源(請謹慎編輯)'!X:X, 0)</f>
        <v/>
      </c>
      <c r="Y11" s="44">
        <f t="array" ref="Y11">XLOOKUP($B11, '資料源(請謹慎編輯)'!$B:$B, '資料源(請謹慎編輯)'!Y:Y, 0)</f>
        <v/>
      </c>
      <c r="Z11" s="46">
        <f t="array" ref="Z11">XLOOKUP($B11, '資料源(請謹慎編輯)'!$B:$B, '資料源(請謹慎編輯)'!Z:Z, 0)</f>
        <v/>
      </c>
    </row>
    <row r="12" ht="18.75" customHeight="1">
      <c r="A12" s="17" t="inlineStr">
        <is>
          <t>職業</t>
        </is>
      </c>
      <c r="B12" s="29" t="inlineStr">
        <is>
          <t>大提督/海軍陸戰隊</t>
        </is>
      </c>
      <c r="C12" s="49">
        <f t="array" ref="C12">XLOOKUP($B12, '資料源(請謹慎編輯)'!$B$301:$B$311, '資料源(請謹慎編輯)'!C$301:C$311, 0)</f>
        <v/>
      </c>
      <c r="D12" s="50">
        <f t="array" ref="D12">XLOOKUP($B12, '資料源(請謹慎編輯)'!$B$301:$B$311, '資料源(請謹慎編輯)'!D$301:D$311, 0)</f>
        <v/>
      </c>
      <c r="E12" s="49">
        <f t="array" ref="E12">XLOOKUP($B12, '資料源(請謹慎編輯)'!$B$301:$B$311, '資料源(請謹慎編輯)'!E$301:E$311, 0)</f>
        <v/>
      </c>
      <c r="F12" s="50">
        <f t="array" ref="F12">XLOOKUP($B12, '資料源(請謹慎編輯)'!$B$301:$B$311, '資料源(請謹慎編輯)'!F$301:F$311, 0)</f>
        <v/>
      </c>
      <c r="G12" s="49">
        <f t="array" ref="G12">XLOOKUP($B12, '資料源(請謹慎編輯)'!$B$301:$B$311, '資料源(請謹慎編輯)'!G$301:G$311, 0)</f>
        <v/>
      </c>
      <c r="H12" s="50">
        <f t="array" ref="H12">XLOOKUP($B12, '資料源(請謹慎編輯)'!$B$301:$B$311, '資料源(請謹慎編輯)'!H$301:H$311, 0)</f>
        <v/>
      </c>
      <c r="I12" s="49">
        <f t="array" ref="I12">XLOOKUP($B12, '資料源(請謹慎編輯)'!$B$301:$B$311, '資料源(請謹慎編輯)'!I$301:I$311, 0)</f>
        <v/>
      </c>
      <c r="J12" s="50">
        <f t="array" ref="J12">XLOOKUP($B12, '資料源(請謹慎編輯)'!$B$301:$B$311, '資料源(請謹慎編輯)'!J$301:J$311, 0)</f>
        <v/>
      </c>
      <c r="K12" s="49">
        <f t="array" ref="K12">XLOOKUP($B12, '資料源(請謹慎編輯)'!$B$301:$B$311, '資料源(請謹慎編輯)'!K$301:K$311, 0)</f>
        <v/>
      </c>
      <c r="L12" s="50">
        <f t="array" ref="L12">XLOOKUP($B12, '資料源(請謹慎編輯)'!$B$301:$B$311, '資料源(請謹慎編輯)'!L$301:L$311, 0)</f>
        <v/>
      </c>
      <c r="M12" s="49">
        <f t="array" ref="M12">XLOOKUP($B12, '資料源(請謹慎編輯)'!$B$301:$B$311, '資料源(請謹慎編輯)'!M$301:M$311, 0)</f>
        <v/>
      </c>
      <c r="N12" s="50">
        <f t="array" ref="N12">XLOOKUP($B12, '資料源(請謹慎編輯)'!$B$301:$B$311, '資料源(請謹慎編輯)'!N$301:N$311, 0)</f>
        <v/>
      </c>
      <c r="O12" s="49">
        <f t="array" ref="O12">XLOOKUP($B12, '資料源(請謹慎編輯)'!$B$301:$B$311, '資料源(請謹慎編輯)'!O$301:O$311, 0)</f>
        <v/>
      </c>
      <c r="P12" s="50">
        <f t="array" ref="P12">XLOOKUP($B12, '資料源(請謹慎編輯)'!$B$301:$B$311, '資料源(請謹慎編輯)'!P$301:P$311, 0)</f>
        <v/>
      </c>
      <c r="Q12" s="49">
        <f t="array" ref="Q12">XLOOKUP($B12, '資料源(請謹慎編輯)'!$B$301:$B$311, '資料源(請謹慎編輯)'!Q$301:Q$311, 0)</f>
        <v/>
      </c>
      <c r="R12" s="50">
        <f t="array" ref="R12">XLOOKUP($B12, '資料源(請謹慎編輯)'!$B$301:$B$311, '資料源(請謹慎編輯)'!R$301:R$311, 0)</f>
        <v/>
      </c>
      <c r="S12" s="49">
        <f t="array" ref="S12">XLOOKUP($B12, '資料源(請謹慎編輯)'!$B$301:$B$311, '資料源(請謹慎編輯)'!S$301:S$311, 0)</f>
        <v/>
      </c>
      <c r="T12" s="50">
        <f t="array" ref="T12">XLOOKUP($B12, '資料源(請謹慎編輯)'!$B$301:$B$311, '資料源(請謹慎編輯)'!T$301:T$311, 0)</f>
        <v/>
      </c>
      <c r="U12" s="49">
        <f t="array" ref="U12">XLOOKUP($B12, '資料源(請謹慎編輯)'!$B$301:$B$311, '資料源(請謹慎編輯)'!U$301:U$311, 0)</f>
        <v/>
      </c>
      <c r="V12" s="50">
        <f t="array" ref="V12">XLOOKUP($B12, '資料源(請謹慎編輯)'!$B$301:$B$311, '資料源(請謹慎編輯)'!V$301:V$311, 0)</f>
        <v/>
      </c>
      <c r="W12" s="49">
        <f t="array" ref="W12">XLOOKUP($B12, '資料源(請謹慎編輯)'!$B$301:$B$311, '資料源(請謹慎編輯)'!W$301:W$311, 0)</f>
        <v/>
      </c>
      <c r="X12" s="50">
        <f t="array" ref="X12">XLOOKUP($B12, '資料源(請謹慎編輯)'!$B$301:$B$311, '資料源(請謹慎編輯)'!X$301:X$311, 0)</f>
        <v/>
      </c>
      <c r="Y12" s="49">
        <f t="array" ref="Y12">XLOOKUP($B12, '資料源(請謹慎編輯)'!$B$301:$B$311, '資料源(請謹慎編輯)'!Y$301:Y$311, 0)</f>
        <v/>
      </c>
      <c r="Z12" s="51">
        <f t="array" ref="Z12">XLOOKUP($B12, '資料源(請謹慎編輯)'!$B$301:$B$311, '資料源(請謹慎編輯)'!Z$301:Z$311, 0)</f>
        <v/>
      </c>
    </row>
    <row r="13" ht="18.75" customHeight="1">
      <c r="A13" s="52" t="inlineStr">
        <is>
          <t>角色上限</t>
        </is>
      </c>
      <c r="B13" s="53" t="n"/>
      <c r="C13" s="47">
        <f t="array" ref="C13">XLOOKUP($B12, '資料源(請謹慎編輯)'!$B$301:$B$311, '資料源(請謹慎編輯)'!C$315:C$324, 0)</f>
        <v/>
      </c>
      <c r="D13" s="48">
        <f t="array" ref="D13">XLOOKUP($B12, '資料源(請謹慎編輯)'!$B$301:$B$311, '資料源(請謹慎編輯)'!D$315:D$324, 0)</f>
        <v/>
      </c>
      <c r="E13" s="47">
        <f t="array" ref="E13">XLOOKUP($B12, '資料源(請謹慎編輯)'!$B$301:$B$311, '資料源(請謹慎編輯)'!E$315:E$324, 0)</f>
        <v/>
      </c>
      <c r="F13" s="48">
        <f t="array" ref="F13">XLOOKUP($B12, '資料源(請謹慎編輯)'!$B$301:$B$311, '資料源(請謹慎編輯)'!F$315:F$324, 0)</f>
        <v/>
      </c>
      <c r="G13" s="47">
        <f t="array" ref="G13">XLOOKUP($B12, '資料源(請謹慎編輯)'!$B$301:$B$311, '資料源(請謹慎編輯)'!G$315:G$324, 0)</f>
        <v/>
      </c>
      <c r="H13" s="48">
        <f t="array" ref="H13">XLOOKUP($B12, '資料源(請謹慎編輯)'!$B$301:$B$311, '資料源(請謹慎編輯)'!H$315:H$324, 0)</f>
        <v/>
      </c>
      <c r="I13" s="47">
        <f t="array" ref="I13">XLOOKUP($B12, '資料源(請謹慎編輯)'!$B$301:$B$311, '資料源(請謹慎編輯)'!I$315:I$324, 0)</f>
        <v/>
      </c>
      <c r="J13" s="48">
        <f t="array" ref="J13">XLOOKUP($B12, '資料源(請謹慎編輯)'!$B$301:$B$311, '資料源(請謹慎編輯)'!J$315:J$324, 0)</f>
        <v/>
      </c>
      <c r="K13" s="47">
        <f t="array" ref="K13">XLOOKUP($B12, '資料源(請謹慎編輯)'!$B$301:$B$311, '資料源(請謹慎編輯)'!K$315:K$324, 0)</f>
        <v/>
      </c>
      <c r="L13" s="48">
        <f t="array" ref="L13">XLOOKUP($B12, '資料源(請謹慎編輯)'!$B$301:$B$311, '資料源(請謹慎編輯)'!L$315:L$324, 0)</f>
        <v/>
      </c>
      <c r="M13" s="47">
        <f t="array" ref="M13">XLOOKUP($B12, '資料源(請謹慎編輯)'!$B$301:$B$311, '資料源(請謹慎編輯)'!M$315:M$324, 0)</f>
        <v/>
      </c>
      <c r="N13" s="48">
        <f t="array" ref="N13">XLOOKUP($B12, '資料源(請謹慎編輯)'!$B$301:$B$311, '資料源(請謹慎編輯)'!N$315:N$324, 0)</f>
        <v/>
      </c>
      <c r="O13" s="47">
        <f t="array" ref="O13">XLOOKUP($B12, '資料源(請謹慎編輯)'!$B$301:$B$311, '資料源(請謹慎編輯)'!O$315:O$324, 0)</f>
        <v/>
      </c>
      <c r="P13" s="50">
        <f t="array" ref="P13">XLOOKUP($B12, '資料源(請謹慎編輯)'!$B$301:$B$311, '資料源(請謹慎編輯)'!P$315:P$324, 0)</f>
        <v/>
      </c>
      <c r="Q13" s="49">
        <f t="array" ref="Q13">XLOOKUP($B12, '資料源(請謹慎編輯)'!$B$301:$B$311, '資料源(請謹慎編輯)'!Q$315:Q$324, 0)</f>
        <v/>
      </c>
      <c r="R13" s="50">
        <f t="array" ref="R13">XLOOKUP($B12, '資料源(請謹慎編輯)'!$B$301:$B$311, '資料源(請謹慎編輯)'!R$315:R$324, 0)</f>
        <v/>
      </c>
      <c r="S13" s="49">
        <f t="array" ref="S13">XLOOKUP($B12, '資料源(請謹慎編輯)'!$B$301:$B$311, '資料源(請謹慎編輯)'!S$315:S$324, 0)</f>
        <v/>
      </c>
      <c r="T13" s="50">
        <f t="array" ref="T13">XLOOKUP($B12, '資料源(請謹慎編輯)'!$B$301:$B$311, '資料源(請謹慎編輯)'!T$315:T$324, 0)</f>
        <v/>
      </c>
      <c r="U13" s="49">
        <f t="array" ref="U13">XLOOKUP($B12, '資料源(請謹慎編輯)'!$B$301:$B$311, '資料源(請謹慎編輯)'!U$315:U$324, 0)</f>
        <v/>
      </c>
      <c r="V13" s="50">
        <f t="array" ref="V13">XLOOKUP($B12, '資料源(請謹慎編輯)'!$B$301:$B$311, '資料源(請謹慎編輯)'!V$315:V$324, 0)</f>
        <v/>
      </c>
      <c r="W13" s="49">
        <f t="array" ref="W13">XLOOKUP($B12, '資料源(請謹慎編輯)'!$B$301:$B$311, '資料源(請謹慎編輯)'!W$315:W$324, 0)</f>
        <v/>
      </c>
      <c r="X13" s="50">
        <f t="array" ref="X13">XLOOKUP($B12, '資料源(請謹慎編輯)'!$B$301:$B$311, '資料源(請謹慎編輯)'!X$315:X$324, 0)</f>
        <v/>
      </c>
      <c r="Y13" s="49">
        <f t="array" ref="Y13">XLOOKUP($B12, '資料源(請謹慎編輯)'!$B$301:$B$311, '資料源(請謹慎編輯)'!Y$315:Y$324, 0)</f>
        <v/>
      </c>
      <c r="Z13" s="51">
        <f t="array" ref="Z13">XLOOKUP($B12, '資料源(請謹慎編輯)'!$B$301:$B$311, '資料源(請謹慎編輯)'!Z$315:Z$324, 0)</f>
        <v/>
      </c>
    </row>
    <row r="14" ht="18.75" customHeight="1">
      <c r="A14" s="54" t="inlineStr">
        <is>
          <t>航海士</t>
        </is>
      </c>
      <c r="B14" s="55" t="n"/>
      <c r="C14" s="49" t="n">
        <v>1</v>
      </c>
      <c r="D14" s="50" t="n">
        <v>1</v>
      </c>
      <c r="E14" s="49" t="n">
        <v>1</v>
      </c>
      <c r="F14" s="50" t="n">
        <v>1</v>
      </c>
      <c r="G14" s="49" t="n">
        <v>1</v>
      </c>
      <c r="H14" s="50" t="n">
        <v>1</v>
      </c>
      <c r="I14" s="49" t="n">
        <v>1</v>
      </c>
      <c r="J14" s="50" t="n">
        <v>2</v>
      </c>
      <c r="K14" s="49" t="n">
        <v>1</v>
      </c>
      <c r="L14" s="50" t="n">
        <v>1</v>
      </c>
      <c r="M14" s="49" t="n">
        <v>1</v>
      </c>
      <c r="N14" s="50" t="n">
        <v>2</v>
      </c>
      <c r="O14" s="20" t="n">
        <v>1</v>
      </c>
      <c r="P14" s="5" t="n">
        <v>1</v>
      </c>
      <c r="Q14" s="21" t="n">
        <v>1</v>
      </c>
      <c r="R14" s="5" t="n">
        <v>1</v>
      </c>
      <c r="S14" s="21" t="n">
        <v>1</v>
      </c>
      <c r="T14" s="5" t="n">
        <v>1</v>
      </c>
      <c r="U14" s="21" t="n"/>
      <c r="V14" s="5" t="n"/>
      <c r="W14" s="22" t="n">
        <v>1</v>
      </c>
      <c r="X14" s="45" t="n">
        <v>1</v>
      </c>
      <c r="Y14" s="44" t="n">
        <v>1</v>
      </c>
      <c r="Z14" s="23" t="n">
        <v>1</v>
      </c>
    </row>
    <row r="15" ht="18.75" customHeight="1">
      <c r="A15" s="56" t="inlineStr">
        <is>
          <t>加總</t>
        </is>
      </c>
      <c r="B15" s="55" t="n"/>
      <c r="C15" s="57">
        <f>SUM(C2:C14)</f>
        <v/>
      </c>
      <c r="D15" s="57">
        <f>SUM(D2:D14)</f>
        <v/>
      </c>
      <c r="E15" s="57">
        <f>SUM(E2:E14)</f>
        <v/>
      </c>
      <c r="F15" s="57">
        <f>SUM(F2:F14)</f>
        <v/>
      </c>
      <c r="G15" s="57">
        <f>SUM(G2:G14)</f>
        <v/>
      </c>
      <c r="H15" s="57">
        <f>SUM(H2:H14)</f>
        <v/>
      </c>
      <c r="I15" s="57">
        <f>SUM(I2:I14)</f>
        <v/>
      </c>
      <c r="J15" s="57">
        <f>SUM(J2:J14)</f>
        <v/>
      </c>
      <c r="K15" s="57">
        <f>SUM(K2:K14)</f>
        <v/>
      </c>
      <c r="L15" s="57">
        <f>SUM(L2:L14)</f>
        <v/>
      </c>
      <c r="M15" s="57">
        <f>SUM(M2:M14)</f>
        <v/>
      </c>
      <c r="N15" s="57">
        <f>SUM(N2:N14)</f>
        <v/>
      </c>
      <c r="O15" s="57">
        <f>SUM(O2:O14)</f>
        <v/>
      </c>
      <c r="P15" s="57">
        <f>SUM(P2:P14)</f>
        <v/>
      </c>
      <c r="Q15" s="57">
        <f>SUM(Q2:Q14)</f>
        <v/>
      </c>
      <c r="R15" s="57">
        <f>SUM(R2:R14)</f>
        <v/>
      </c>
      <c r="S15" s="57">
        <f>SUM(S2:S14)</f>
        <v/>
      </c>
      <c r="T15" s="57">
        <f>SUM(T2:T14)</f>
        <v/>
      </c>
      <c r="U15" s="57">
        <f>SUM(U2:U14)</f>
        <v/>
      </c>
      <c r="V15" s="57">
        <f>SUM(V2:V14)</f>
        <v/>
      </c>
      <c r="W15" s="57">
        <f>SUM(W2:W14)</f>
        <v/>
      </c>
      <c r="X15" s="57">
        <f>SUM(X2:X14)</f>
        <v/>
      </c>
      <c r="Y15" s="57">
        <f>SUM(Y2:Y14)</f>
        <v/>
      </c>
      <c r="Z15" s="57">
        <f>SUM(Z2:Z14)</f>
        <v/>
      </c>
    </row>
    <row r="16" ht="18.75" customHeight="1">
      <c r="A16" s="5" t="n"/>
      <c r="B16" s="2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8.75" customHeight="1">
      <c r="A17" s="5" t="n"/>
      <c r="B17" s="2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8.75" customHeight="1">
      <c r="A18" s="5" t="n"/>
      <c r="B18" s="2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8.75" customHeight="1">
      <c r="A19" s="5" t="n"/>
      <c r="B19" s="2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8.75" customHeight="1">
      <c r="A20" s="5" t="n"/>
      <c r="B20" s="2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8.75" customHeight="1">
      <c r="A21" s="5" t="n"/>
      <c r="B21" s="2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8" t="inlineStr">
        <is>
          <t>製作者：鎮魂歌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8.75" customHeight="1">
      <c r="A22" s="5" t="n"/>
      <c r="B22" s="2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8.75" customHeight="1">
      <c r="A23" s="5" t="n"/>
      <c r="B23" s="2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8.75" customHeight="1">
      <c r="A24" s="5" t="n"/>
      <c r="B24" s="2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8.75" customHeight="1">
      <c r="A25" s="5" t="n"/>
      <c r="B25" s="2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8.75" customHeight="1">
      <c r="A26" s="5" t="n"/>
      <c r="B26" s="2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8.75" customHeight="1">
      <c r="A27" s="5" t="n"/>
      <c r="B27" s="2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8.75" customHeight="1">
      <c r="A28" s="5" t="n"/>
      <c r="B28" s="2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26" t="n"/>
      <c r="Y28" s="5" t="n"/>
      <c r="Z28" s="5" t="n"/>
    </row>
    <row r="29" ht="18.75" customHeight="1">
      <c r="A29" s="5" t="n"/>
      <c r="B29" s="2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8.75" customHeight="1">
      <c r="A30" s="5" t="n"/>
      <c r="B30" s="2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8.75" customHeight="1">
      <c r="A31" s="5" t="n"/>
      <c r="B31" s="2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8.75" customHeight="1">
      <c r="A32" s="5" t="n"/>
      <c r="B32" s="2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8.75" customHeight="1">
      <c r="A33" s="5" t="n"/>
      <c r="B33" s="2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8.75" customHeight="1">
      <c r="A34" s="5" t="n"/>
      <c r="B34" s="2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8.75" customHeight="1">
      <c r="A35" s="5" t="n"/>
      <c r="B35" s="2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8.75" customHeight="1">
      <c r="A36" s="5" t="n"/>
      <c r="B36" s="2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8.75" customHeight="1">
      <c r="A37" s="5" t="n"/>
      <c r="B37" s="2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8.75" customHeight="1">
      <c r="A38" s="5" t="n"/>
      <c r="B38" s="2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8.75" customHeight="1">
      <c r="A39" s="5" t="n"/>
      <c r="B39" s="2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8.75" customHeight="1">
      <c r="A40" s="5" t="n"/>
      <c r="B40" s="2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8.75" customHeight="1">
      <c r="A41" s="5" t="n"/>
      <c r="B41" s="2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8.75" customHeight="1">
      <c r="A42" s="5" t="n"/>
      <c r="B42" s="2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8.75" customHeight="1">
      <c r="A43" s="5" t="n"/>
      <c r="B43" s="2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8.75" customHeight="1">
      <c r="A44" s="5" t="n"/>
      <c r="B44" s="2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8.75" customHeight="1">
      <c r="A45" s="5" t="n"/>
      <c r="B45" s="2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8.75" customHeight="1">
      <c r="A46" s="5" t="n"/>
      <c r="B46" s="2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8.75" customHeight="1">
      <c r="A47" s="5" t="n"/>
      <c r="B47" s="2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8.75" customHeight="1">
      <c r="A48" s="5" t="n"/>
      <c r="B48" s="2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8.75" customHeight="1">
      <c r="A49" s="5" t="n"/>
      <c r="B49" s="2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8.75" customHeight="1">
      <c r="A50" s="5" t="n"/>
      <c r="B50" s="2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8.75" customHeight="1">
      <c r="A51" s="5" t="n"/>
      <c r="B51" s="2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8.75" customHeight="1">
      <c r="A52" s="5" t="n"/>
      <c r="B52" s="2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8.75" customHeight="1">
      <c r="A53" s="5" t="n"/>
      <c r="B53" s="2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8.75" customHeight="1">
      <c r="A54" s="5" t="n"/>
      <c r="B54" s="2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8.75" customHeight="1">
      <c r="A55" s="5" t="n"/>
      <c r="B55" s="2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8.75" customHeight="1">
      <c r="A56" s="5" t="n"/>
      <c r="B56" s="2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8.75" customHeight="1">
      <c r="A57" s="5" t="n"/>
      <c r="B57" s="2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8.75" customHeight="1">
      <c r="A58" s="5" t="n"/>
      <c r="B58" s="2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8.75" customHeight="1">
      <c r="A59" s="5" t="n"/>
      <c r="B59" s="2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8.75" customHeight="1">
      <c r="A60" s="5" t="n"/>
      <c r="B60" s="2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8.75" customHeight="1">
      <c r="A61" s="5" t="n"/>
      <c r="B61" s="2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8.75" customHeight="1">
      <c r="A62" s="5" t="n"/>
      <c r="B62" s="2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8.75" customHeight="1">
      <c r="A63" s="5" t="n"/>
      <c r="B63" s="2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8.75" customHeight="1">
      <c r="A64" s="5" t="n"/>
      <c r="B64" s="2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8.75" customHeight="1">
      <c r="A65" s="5" t="n"/>
      <c r="B65" s="2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8.75" customHeight="1">
      <c r="A66" s="5" t="n"/>
      <c r="B66" s="2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8.75" customHeight="1">
      <c r="A67" s="5" t="n"/>
      <c r="B67" s="2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8.75" customHeight="1">
      <c r="A68" s="5" t="n"/>
      <c r="B68" s="2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8.75" customHeight="1">
      <c r="A69" s="5" t="n"/>
      <c r="B69" s="2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8.75" customHeight="1">
      <c r="A70" s="5" t="n"/>
      <c r="B70" s="2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8.75" customHeight="1">
      <c r="A71" s="5" t="n"/>
      <c r="B71" s="2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8.75" customHeight="1">
      <c r="A72" s="5" t="n"/>
      <c r="B72" s="2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8.75" customHeight="1">
      <c r="A73" s="5" t="n"/>
      <c r="B73" s="2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8.75" customHeight="1">
      <c r="A74" s="5" t="n"/>
      <c r="B74" s="2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8.75" customHeight="1">
      <c r="A75" s="5" t="n"/>
      <c r="B75" s="2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8.75" customHeight="1">
      <c r="A76" s="5" t="n"/>
      <c r="B76" s="2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8.75" customHeight="1">
      <c r="A77" s="5" t="n"/>
      <c r="B77" s="2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8.75" customHeight="1">
      <c r="A78" s="5" t="n"/>
      <c r="B78" s="2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8.75" customHeight="1">
      <c r="A79" s="5" t="n"/>
      <c r="B79" s="2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8.75" customHeight="1">
      <c r="A80" s="5" t="n"/>
      <c r="B80" s="2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8.75" customHeight="1">
      <c r="A81" s="5" t="n"/>
      <c r="B81" s="2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8.75" customHeight="1">
      <c r="A82" s="5" t="n"/>
      <c r="B82" s="2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8.75" customHeight="1">
      <c r="A83" s="5" t="n"/>
      <c r="B83" s="2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8.75" customHeight="1">
      <c r="A84" s="5" t="n"/>
      <c r="B84" s="2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8.75" customHeight="1">
      <c r="A85" s="5" t="n"/>
      <c r="B85" s="2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8.75" customHeight="1">
      <c r="A86" s="5" t="n"/>
      <c r="B86" s="2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8.75" customHeight="1">
      <c r="A87" s="5" t="n"/>
      <c r="B87" s="2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8.75" customHeight="1">
      <c r="A88" s="5" t="n"/>
      <c r="B88" s="2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8.75" customHeight="1">
      <c r="A89" s="5" t="n"/>
      <c r="B89" s="2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8.75" customHeight="1">
      <c r="A90" s="5" t="n"/>
      <c r="B90" s="2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8.75" customHeight="1">
      <c r="A91" s="5" t="n"/>
      <c r="B91" s="2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8.75" customHeight="1">
      <c r="A92" s="5" t="n"/>
      <c r="B92" s="2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8.75" customHeight="1">
      <c r="A93" s="5" t="n"/>
      <c r="B93" s="2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8.75" customHeight="1">
      <c r="A94" s="5" t="n"/>
      <c r="B94" s="2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8.75" customHeight="1">
      <c r="A95" s="5" t="n"/>
      <c r="B95" s="2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8.75" customHeight="1">
      <c r="A96" s="5" t="n"/>
      <c r="B96" s="2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8.75" customHeight="1">
      <c r="A97" s="5" t="n"/>
      <c r="B97" s="2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8.75" customHeight="1">
      <c r="A98" s="5" t="n"/>
      <c r="B98" s="2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8.75" customHeight="1">
      <c r="A99" s="5" t="n"/>
      <c r="B99" s="2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8.75" customHeight="1">
      <c r="A100" s="5" t="n"/>
      <c r="B100" s="2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8.75" customHeight="1">
      <c r="A101" s="5" t="n"/>
      <c r="B101" s="2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8.75" customHeight="1">
      <c r="A102" s="5" t="n"/>
      <c r="B102" s="2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8.75" customHeight="1">
      <c r="A103" s="5" t="n"/>
      <c r="B103" s="2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8.75" customHeight="1">
      <c r="A104" s="5" t="n"/>
      <c r="B104" s="2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8.75" customHeight="1">
      <c r="A105" s="5" t="n"/>
      <c r="B105" s="2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8.75" customHeight="1">
      <c r="A106" s="5" t="n"/>
      <c r="B106" s="2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8.75" customHeight="1">
      <c r="A107" s="5" t="n"/>
      <c r="B107" s="2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8.75" customHeight="1">
      <c r="A108" s="5" t="n"/>
      <c r="B108" s="2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8.75" customHeight="1">
      <c r="A109" s="5" t="n"/>
      <c r="B109" s="2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8.75" customHeight="1">
      <c r="A110" s="5" t="n"/>
      <c r="B110" s="2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8.75" customHeight="1">
      <c r="A111" s="5" t="n"/>
      <c r="B111" s="2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8.75" customHeight="1">
      <c r="A112" s="5" t="n"/>
      <c r="B112" s="2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8.75" customHeight="1">
      <c r="A113" s="5" t="n"/>
      <c r="B113" s="2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8.75" customHeight="1">
      <c r="A114" s="5" t="n"/>
      <c r="B114" s="2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8.75" customHeight="1">
      <c r="A115" s="5" t="n"/>
      <c r="B115" s="2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8.75" customHeight="1">
      <c r="A116" s="5" t="n"/>
      <c r="B116" s="2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8.75" customHeight="1">
      <c r="A117" s="5" t="n"/>
      <c r="B117" s="2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8.75" customHeight="1">
      <c r="A118" s="5" t="n"/>
      <c r="B118" s="2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8.75" customHeight="1">
      <c r="A119" s="5" t="n"/>
      <c r="B119" s="2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8.75" customHeight="1">
      <c r="A120" s="5" t="n"/>
      <c r="B120" s="2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8.75" customHeight="1">
      <c r="A121" s="5" t="n"/>
      <c r="B121" s="2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8.75" customHeight="1">
      <c r="A122" s="5" t="n"/>
      <c r="B122" s="2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8.75" customHeight="1">
      <c r="A123" s="5" t="n"/>
      <c r="B123" s="2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8.75" customHeight="1">
      <c r="A124" s="5" t="n"/>
      <c r="B124" s="2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8.75" customHeight="1">
      <c r="A125" s="5" t="n"/>
      <c r="B125" s="2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8.75" customHeight="1">
      <c r="A126" s="5" t="n"/>
      <c r="B126" s="2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8.75" customHeight="1">
      <c r="A127" s="5" t="n"/>
      <c r="B127" s="2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8.75" customHeight="1">
      <c r="A128" s="5" t="n"/>
      <c r="B128" s="2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8.75" customHeight="1">
      <c r="A129" s="5" t="n"/>
      <c r="B129" s="2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8.75" customHeight="1">
      <c r="A130" s="5" t="n"/>
      <c r="B130" s="2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8.75" customHeight="1">
      <c r="A131" s="5" t="n"/>
      <c r="B131" s="2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8.75" customHeight="1">
      <c r="A132" s="5" t="n"/>
      <c r="B132" s="2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8.75" customHeight="1">
      <c r="A133" s="5" t="n"/>
      <c r="B133" s="2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8.75" customHeight="1">
      <c r="A134" s="5" t="n"/>
      <c r="B134" s="2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8.75" customHeight="1">
      <c r="A135" s="5" t="n"/>
      <c r="B135" s="2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8.75" customHeight="1">
      <c r="A136" s="5" t="n"/>
      <c r="B136" s="2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8.75" customHeight="1">
      <c r="A137" s="5" t="n"/>
      <c r="B137" s="2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8.75" customHeight="1">
      <c r="A138" s="5" t="n"/>
      <c r="B138" s="2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8.75" customHeight="1">
      <c r="A139" s="5" t="n"/>
      <c r="B139" s="2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8.75" customHeight="1">
      <c r="A140" s="5" t="n"/>
      <c r="B140" s="2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8.75" customHeight="1">
      <c r="A141" s="5" t="n"/>
      <c r="B141" s="2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8.75" customHeight="1">
      <c r="A142" s="5" t="n"/>
      <c r="B142" s="2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8.75" customHeight="1">
      <c r="A143" s="5" t="n"/>
      <c r="B143" s="2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8.75" customHeight="1">
      <c r="A144" s="5" t="n"/>
      <c r="B144" s="2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8.75" customHeight="1">
      <c r="A145" s="5" t="n"/>
      <c r="B145" s="2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8.75" customHeight="1">
      <c r="A146" s="5" t="n"/>
      <c r="B146" s="2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8.75" customHeight="1">
      <c r="A147" s="5" t="n"/>
      <c r="B147" s="2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8.75" customHeight="1">
      <c r="A148" s="5" t="n"/>
      <c r="B148" s="2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8.75" customHeight="1">
      <c r="A149" s="5" t="n"/>
      <c r="B149" s="2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8.75" customHeight="1">
      <c r="A150" s="5" t="n"/>
      <c r="B150" s="2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8.75" customHeight="1">
      <c r="A151" s="5" t="n"/>
      <c r="B151" s="2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8.75" customHeight="1">
      <c r="A152" s="5" t="n"/>
      <c r="B152" s="2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8.75" customHeight="1">
      <c r="A153" s="5" t="n"/>
      <c r="B153" s="2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8.75" customHeight="1">
      <c r="A154" s="5" t="n"/>
      <c r="B154" s="2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8.75" customHeight="1">
      <c r="A155" s="5" t="n"/>
      <c r="B155" s="2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8.75" customHeight="1">
      <c r="A156" s="5" t="n"/>
      <c r="B156" s="2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8.75" customHeight="1">
      <c r="A157" s="5" t="n"/>
      <c r="B157" s="2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8.75" customHeight="1">
      <c r="A158" s="5" t="n"/>
      <c r="B158" s="2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8.75" customHeight="1">
      <c r="A159" s="5" t="n"/>
      <c r="B159" s="2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8.75" customHeight="1">
      <c r="A160" s="5" t="n"/>
      <c r="B160" s="2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8.75" customHeight="1">
      <c r="A161" s="5" t="n"/>
      <c r="B161" s="2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8.75" customHeight="1">
      <c r="A162" s="5" t="n"/>
      <c r="B162" s="2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8.75" customHeight="1">
      <c r="A163" s="5" t="n"/>
      <c r="B163" s="2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8.75" customHeight="1">
      <c r="A164" s="5" t="n"/>
      <c r="B164" s="2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8.75" customHeight="1">
      <c r="A165" s="5" t="n"/>
      <c r="B165" s="2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8.75" customHeight="1">
      <c r="A166" s="5" t="n"/>
      <c r="B166" s="2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8.75" customHeight="1">
      <c r="A167" s="5" t="n"/>
      <c r="B167" s="2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8.75" customHeight="1">
      <c r="A168" s="5" t="n"/>
      <c r="B168" s="2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8.75" customHeight="1">
      <c r="A169" s="5" t="n"/>
      <c r="B169" s="2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8.75" customHeight="1">
      <c r="A170" s="5" t="n"/>
      <c r="B170" s="2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8.75" customHeight="1">
      <c r="A171" s="5" t="n"/>
      <c r="B171" s="2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8.75" customHeight="1">
      <c r="A172" s="5" t="n"/>
      <c r="B172" s="2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8.75" customHeight="1">
      <c r="A173" s="5" t="n"/>
      <c r="B173" s="2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8.75" customHeight="1">
      <c r="A174" s="5" t="n"/>
      <c r="B174" s="2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8.75" customHeight="1">
      <c r="A175" s="5" t="n"/>
      <c r="B175" s="2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8.75" customHeight="1">
      <c r="A176" s="5" t="n"/>
      <c r="B176" s="2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8.75" customHeight="1">
      <c r="A177" s="5" t="n"/>
      <c r="B177" s="2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8.75" customHeight="1">
      <c r="A178" s="5" t="n"/>
      <c r="B178" s="2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8.75" customHeight="1">
      <c r="A179" s="5" t="n"/>
      <c r="B179" s="2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8.75" customHeight="1">
      <c r="A180" s="5" t="n"/>
      <c r="B180" s="2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8.75" customHeight="1">
      <c r="A181" s="5" t="n"/>
      <c r="B181" s="2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8.75" customHeight="1">
      <c r="A182" s="5" t="n"/>
      <c r="B182" s="2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8.75" customHeight="1">
      <c r="A183" s="5" t="n"/>
      <c r="B183" s="2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8.75" customHeight="1">
      <c r="A184" s="5" t="n"/>
      <c r="B184" s="2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8.75" customHeight="1">
      <c r="A185" s="5" t="n"/>
      <c r="B185" s="2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8.75" customHeight="1">
      <c r="A186" s="5" t="n"/>
      <c r="B186" s="2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8.75" customHeight="1">
      <c r="A187" s="5" t="n"/>
      <c r="B187" s="2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8.75" customHeight="1">
      <c r="A188" s="5" t="n"/>
      <c r="B188" s="2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8.75" customHeight="1">
      <c r="A189" s="5" t="n"/>
      <c r="B189" s="2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8.75" customHeight="1">
      <c r="A190" s="5" t="n"/>
      <c r="B190" s="2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8.75" customHeight="1">
      <c r="A191" s="5" t="n"/>
      <c r="B191" s="2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8.75" customHeight="1">
      <c r="A192" s="5" t="n"/>
      <c r="B192" s="2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8.75" customHeight="1">
      <c r="A193" s="5" t="n"/>
      <c r="B193" s="2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8.75" customHeight="1">
      <c r="A194" s="5" t="n"/>
      <c r="B194" s="2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8.75" customHeight="1">
      <c r="A195" s="5" t="n"/>
      <c r="B195" s="2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8.75" customHeight="1">
      <c r="A196" s="5" t="n"/>
      <c r="B196" s="2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8.75" customHeight="1">
      <c r="A197" s="5" t="n"/>
      <c r="B197" s="2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8.75" customHeight="1">
      <c r="A198" s="5" t="n"/>
      <c r="B198" s="2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8.75" customHeight="1">
      <c r="A199" s="5" t="n"/>
      <c r="B199" s="2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8.75" customHeight="1">
      <c r="A200" s="5" t="n"/>
      <c r="B200" s="2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8.75" customHeight="1">
      <c r="A201" s="5" t="n"/>
      <c r="B201" s="2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8.75" customHeight="1">
      <c r="A202" s="5" t="n"/>
      <c r="B202" s="2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8.75" customHeight="1">
      <c r="A203" s="5" t="n"/>
      <c r="B203" s="2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8.75" customHeight="1">
      <c r="A204" s="5" t="n"/>
      <c r="B204" s="2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8.75" customHeight="1">
      <c r="A205" s="5" t="n"/>
      <c r="B205" s="2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8.75" customHeight="1">
      <c r="A206" s="5" t="n"/>
      <c r="B206" s="2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8.75" customHeight="1">
      <c r="A207" s="5" t="n"/>
      <c r="B207" s="2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8.75" customHeight="1">
      <c r="A208" s="5" t="n"/>
      <c r="B208" s="2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8.75" customHeight="1">
      <c r="A209" s="5" t="n"/>
      <c r="B209" s="2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8.75" customHeight="1">
      <c r="A210" s="5" t="n"/>
      <c r="B210" s="2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8.75" customHeight="1">
      <c r="A211" s="5" t="n"/>
      <c r="B211" s="2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8.75" customHeight="1">
      <c r="A212" s="5" t="n"/>
      <c r="B212" s="2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8.75" customHeight="1">
      <c r="A213" s="5" t="n"/>
      <c r="B213" s="2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8.75" customHeight="1">
      <c r="A214" s="5" t="n"/>
      <c r="B214" s="2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8.75" customHeight="1">
      <c r="A215" s="5" t="n"/>
      <c r="B215" s="2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8.75" customHeight="1">
      <c r="A216" s="5" t="n"/>
      <c r="B216" s="2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8.75" customHeight="1">
      <c r="A217" s="5" t="n"/>
      <c r="B217" s="2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8.75" customHeight="1">
      <c r="A218" s="5" t="n"/>
      <c r="B218" s="2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8.75" customHeight="1">
      <c r="A219" s="5" t="n"/>
      <c r="B219" s="2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8.75" customHeight="1">
      <c r="A220" s="5" t="n"/>
      <c r="B220" s="2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8.75" customHeight="1">
      <c r="A221" s="5" t="n"/>
      <c r="B221" s="2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8.75" customHeight="1">
      <c r="A222" s="5" t="n"/>
      <c r="B222" s="2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8.75" customHeight="1">
      <c r="A223" s="5" t="n"/>
      <c r="B223" s="2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8.75" customHeight="1">
      <c r="A224" s="5" t="n"/>
      <c r="B224" s="2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8.75" customHeight="1">
      <c r="A225" s="5" t="n"/>
      <c r="B225" s="2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8.75" customHeight="1">
      <c r="A226" s="5" t="n"/>
      <c r="B226" s="2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8.75" customHeight="1">
      <c r="A227" s="5" t="n"/>
      <c r="B227" s="2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8.75" customHeight="1">
      <c r="A228" s="5" t="n"/>
      <c r="B228" s="2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8.75" customHeight="1">
      <c r="A229" s="5" t="n"/>
      <c r="B229" s="2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8.75" customHeight="1">
      <c r="A230" s="5" t="n"/>
      <c r="B230" s="2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8.75" customHeight="1">
      <c r="A231" s="5" t="n"/>
      <c r="B231" s="2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8.75" customHeight="1">
      <c r="A232" s="5" t="n"/>
      <c r="B232" s="2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8.75" customHeight="1">
      <c r="A233" s="5" t="n"/>
      <c r="B233" s="2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8.75" customHeight="1">
      <c r="A234" s="5" t="n"/>
      <c r="B234" s="2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8.75" customHeight="1">
      <c r="A235" s="5" t="n"/>
      <c r="B235" s="2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8.75" customHeight="1">
      <c r="A236" s="5" t="n"/>
      <c r="B236" s="2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8.75" customHeight="1">
      <c r="A237" s="5" t="n"/>
      <c r="B237" s="2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8.75" customHeight="1">
      <c r="A238" s="5" t="n"/>
      <c r="B238" s="2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8.75" customHeight="1">
      <c r="A239" s="5" t="n"/>
      <c r="B239" s="2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8.75" customHeight="1">
      <c r="A240" s="5" t="n"/>
      <c r="B240" s="2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8.75" customHeight="1">
      <c r="A241" s="5" t="n"/>
      <c r="B241" s="2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8.75" customHeight="1">
      <c r="A242" s="5" t="n"/>
      <c r="B242" s="2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8.75" customHeight="1">
      <c r="A243" s="5" t="n"/>
      <c r="B243" s="2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8.75" customHeight="1">
      <c r="A244" s="5" t="n"/>
      <c r="B244" s="2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8.75" customHeight="1">
      <c r="A245" s="5" t="n"/>
      <c r="B245" s="2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8.75" customHeight="1">
      <c r="A246" s="5" t="n"/>
      <c r="B246" s="2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8.75" customHeight="1">
      <c r="A247" s="5" t="n"/>
      <c r="B247" s="2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8.75" customHeight="1">
      <c r="A248" s="5" t="n"/>
      <c r="B248" s="2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8.75" customHeight="1">
      <c r="A249" s="5" t="n"/>
      <c r="B249" s="2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8.75" customHeight="1">
      <c r="A250" s="5" t="n"/>
      <c r="B250" s="2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8.75" customHeight="1">
      <c r="A251" s="5" t="n"/>
      <c r="B251" s="2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8.75" customHeight="1">
      <c r="A252" s="5" t="n"/>
      <c r="B252" s="2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8.75" customHeight="1">
      <c r="A253" s="5" t="n"/>
      <c r="B253" s="2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8.75" customHeight="1">
      <c r="A254" s="5" t="n"/>
      <c r="B254" s="2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8.75" customHeight="1">
      <c r="A255" s="5" t="n"/>
      <c r="B255" s="2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8.75" customHeight="1">
      <c r="A256" s="5" t="n"/>
      <c r="B256" s="2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8.75" customHeight="1">
      <c r="A257" s="5" t="n"/>
      <c r="B257" s="2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8.75" customHeight="1">
      <c r="A258" s="5" t="n"/>
      <c r="B258" s="2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8.75" customHeight="1">
      <c r="A259" s="5" t="n"/>
      <c r="B259" s="2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8.75" customHeight="1">
      <c r="A260" s="5" t="n"/>
      <c r="B260" s="2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8.75" customHeight="1">
      <c r="A261" s="5" t="n"/>
      <c r="B261" s="2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8.75" customHeight="1">
      <c r="A262" s="5" t="n"/>
      <c r="B262" s="2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8.75" customHeight="1">
      <c r="A263" s="5" t="n"/>
      <c r="B263" s="2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8.75" customHeight="1">
      <c r="A264" s="5" t="n"/>
      <c r="B264" s="2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8.75" customHeight="1">
      <c r="A265" s="5" t="n"/>
      <c r="B265" s="2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8.75" customHeight="1">
      <c r="A266" s="5" t="n"/>
      <c r="B266" s="2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8.75" customHeight="1">
      <c r="A267" s="5" t="n"/>
      <c r="B267" s="2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8.75" customHeight="1">
      <c r="A268" s="5" t="n"/>
      <c r="B268" s="2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8.75" customHeight="1">
      <c r="A269" s="5" t="n"/>
      <c r="B269" s="2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8.75" customHeight="1">
      <c r="A270" s="5" t="n"/>
      <c r="B270" s="2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8.75" customHeight="1">
      <c r="A271" s="5" t="n"/>
      <c r="B271" s="2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8.75" customHeight="1">
      <c r="A272" s="5" t="n"/>
      <c r="B272" s="2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8.75" customHeight="1">
      <c r="A273" s="5" t="n"/>
      <c r="B273" s="2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8.75" customHeight="1">
      <c r="A274" s="5" t="n"/>
      <c r="B274" s="2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8.75" customHeight="1">
      <c r="A275" s="5" t="n"/>
      <c r="B275" s="2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8.75" customHeight="1">
      <c r="A276" s="5" t="n"/>
      <c r="B276" s="2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8.75" customHeight="1">
      <c r="A277" s="5" t="n"/>
      <c r="B277" s="2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8.75" customHeight="1">
      <c r="A278" s="5" t="n"/>
      <c r="B278" s="2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8.75" customHeight="1">
      <c r="A279" s="5" t="n"/>
      <c r="B279" s="2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8.75" customHeight="1">
      <c r="A280" s="5" t="n"/>
      <c r="B280" s="2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8.75" customHeight="1">
      <c r="A281" s="5" t="n"/>
      <c r="B281" s="2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8.75" customHeight="1">
      <c r="A282" s="5" t="n"/>
      <c r="B282" s="2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8.75" customHeight="1">
      <c r="A283" s="5" t="n"/>
      <c r="B283" s="2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8.75" customHeight="1">
      <c r="A284" s="5" t="n"/>
      <c r="B284" s="2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8.75" customHeight="1">
      <c r="A285" s="5" t="n"/>
      <c r="B285" s="2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8.75" customHeight="1">
      <c r="A286" s="5" t="n"/>
      <c r="B286" s="2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8.75" customHeight="1">
      <c r="A287" s="5" t="n"/>
      <c r="B287" s="2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8.75" customHeight="1">
      <c r="A288" s="5" t="n"/>
      <c r="B288" s="2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8.75" customHeight="1">
      <c r="A289" s="5" t="n"/>
      <c r="B289" s="2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8.75" customHeight="1">
      <c r="A290" s="5" t="n"/>
      <c r="B290" s="2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8.75" customHeight="1">
      <c r="A291" s="5" t="n"/>
      <c r="B291" s="2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8.75" customHeight="1">
      <c r="A292" s="5" t="n"/>
      <c r="B292" s="2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8.75" customHeight="1">
      <c r="A293" s="5" t="n"/>
      <c r="B293" s="2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8.75" customHeight="1">
      <c r="A294" s="5" t="n"/>
      <c r="B294" s="2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8.75" customHeight="1">
      <c r="A295" s="5" t="n"/>
      <c r="B295" s="2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8.75" customHeight="1">
      <c r="A296" s="5" t="n"/>
      <c r="B296" s="2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8.75" customHeight="1">
      <c r="A297" s="5" t="n"/>
      <c r="B297" s="2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8.75" customHeight="1">
      <c r="A298" s="5" t="n"/>
      <c r="B298" s="2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8.75" customHeight="1">
      <c r="A299" s="5" t="n"/>
      <c r="B299" s="2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8.75" customHeight="1">
      <c r="A300" s="5" t="n"/>
      <c r="B300" s="2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8.75" customHeight="1">
      <c r="A301" s="5" t="n"/>
      <c r="B301" s="2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8.75" customHeight="1">
      <c r="A302" s="5" t="n"/>
      <c r="B302" s="2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8.75" customHeight="1">
      <c r="A303" s="5" t="n"/>
      <c r="B303" s="2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8.75" customHeight="1">
      <c r="A304" s="5" t="n"/>
      <c r="B304" s="2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8.75" customHeight="1">
      <c r="A305" s="5" t="n"/>
      <c r="B305" s="2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8.75" customHeight="1">
      <c r="A306" s="5" t="n"/>
      <c r="B306" s="2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8.75" customHeight="1">
      <c r="A307" s="5" t="n"/>
      <c r="B307" s="2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8.75" customHeight="1">
      <c r="A308" s="5" t="n"/>
      <c r="B308" s="2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8.75" customHeight="1">
      <c r="A309" s="5" t="n"/>
      <c r="B309" s="2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8.75" customHeight="1">
      <c r="A310" s="5" t="n"/>
      <c r="B310" s="2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8.75" customHeight="1">
      <c r="A311" s="5" t="n"/>
      <c r="B311" s="2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8.75" customHeight="1">
      <c r="A312" s="5" t="n"/>
      <c r="B312" s="2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8.75" customHeight="1">
      <c r="A313" s="5" t="n"/>
      <c r="B313" s="2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8.75" customHeight="1">
      <c r="A314" s="5" t="n"/>
      <c r="B314" s="2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8.75" customHeight="1">
      <c r="A315" s="5" t="n"/>
      <c r="B315" s="2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8.75" customHeight="1">
      <c r="A316" s="5" t="n"/>
      <c r="B316" s="2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8.75" customHeight="1">
      <c r="A317" s="5" t="n"/>
      <c r="B317" s="2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8.75" customHeight="1">
      <c r="A318" s="5" t="n"/>
      <c r="B318" s="2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8.75" customHeight="1">
      <c r="A319" s="5" t="n"/>
      <c r="B319" s="2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8.75" customHeight="1">
      <c r="A320" s="5" t="n"/>
      <c r="B320" s="2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8.75" customHeight="1">
      <c r="A321" s="5" t="n"/>
      <c r="B321" s="2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8.75" customHeight="1">
      <c r="A322" s="5" t="n"/>
      <c r="B322" s="2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8.75" customHeight="1">
      <c r="A323" s="5" t="n"/>
      <c r="B323" s="2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8.75" customHeight="1">
      <c r="A324" s="5" t="n"/>
      <c r="B324" s="2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8.75" customHeight="1">
      <c r="A325" s="5" t="n"/>
      <c r="B325" s="2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8.75" customHeight="1">
      <c r="A326" s="5" t="n"/>
      <c r="B326" s="2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8.75" customHeight="1">
      <c r="A327" s="5" t="n"/>
      <c r="B327" s="2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8.75" customHeight="1">
      <c r="A328" s="5" t="n"/>
      <c r="B328" s="2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8.75" customHeight="1">
      <c r="A329" s="5" t="n"/>
      <c r="B329" s="2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8.75" customHeight="1">
      <c r="A330" s="5" t="n"/>
      <c r="B330" s="2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8.75" customHeight="1">
      <c r="A331" s="5" t="n"/>
      <c r="B331" s="2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8.75" customHeight="1">
      <c r="A332" s="5" t="n"/>
      <c r="B332" s="2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8.75" customHeight="1">
      <c r="A333" s="5" t="n"/>
      <c r="B333" s="2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8.75" customHeight="1">
      <c r="A334" s="5" t="n"/>
      <c r="B334" s="2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8.75" customHeight="1">
      <c r="A335" s="5" t="n"/>
      <c r="B335" s="2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8.75" customHeight="1">
      <c r="A336" s="5" t="n"/>
      <c r="B336" s="2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8.75" customHeight="1">
      <c r="A337" s="5" t="n"/>
      <c r="B337" s="2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8.75" customHeight="1">
      <c r="A338" s="5" t="n"/>
      <c r="B338" s="2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8.75" customHeight="1">
      <c r="A339" s="5" t="n"/>
      <c r="B339" s="2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8.75" customHeight="1">
      <c r="A340" s="5" t="n"/>
      <c r="B340" s="2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8.75" customHeight="1">
      <c r="A341" s="5" t="n"/>
      <c r="B341" s="2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8.75" customHeight="1">
      <c r="A342" s="5" t="n"/>
      <c r="B342" s="2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8.75" customHeight="1">
      <c r="A343" s="5" t="n"/>
      <c r="B343" s="2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8.75" customHeight="1">
      <c r="A344" s="5" t="n"/>
      <c r="B344" s="2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8.75" customHeight="1">
      <c r="A345" s="5" t="n"/>
      <c r="B345" s="2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8.75" customHeight="1">
      <c r="A346" s="5" t="n"/>
      <c r="B346" s="2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8.75" customHeight="1">
      <c r="A347" s="5" t="n"/>
      <c r="B347" s="2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8.75" customHeight="1">
      <c r="A348" s="5" t="n"/>
      <c r="B348" s="2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8.75" customHeight="1">
      <c r="A349" s="5" t="n"/>
      <c r="B349" s="2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8.75" customHeight="1">
      <c r="A350" s="5" t="n"/>
      <c r="B350" s="2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8.75" customHeight="1">
      <c r="A351" s="5" t="n"/>
      <c r="B351" s="2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8.75" customHeight="1">
      <c r="A352" s="5" t="n"/>
      <c r="B352" s="2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8.75" customHeight="1">
      <c r="A353" s="5" t="n"/>
      <c r="B353" s="2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8.75" customHeight="1">
      <c r="A354" s="5" t="n"/>
      <c r="B354" s="2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8.75" customHeight="1">
      <c r="A355" s="5" t="n"/>
      <c r="B355" s="2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8.75" customHeight="1">
      <c r="A356" s="5" t="n"/>
      <c r="B356" s="2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8.75" customHeight="1">
      <c r="A357" s="5" t="n"/>
      <c r="B357" s="2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8.75" customHeight="1">
      <c r="A358" s="5" t="n"/>
      <c r="B358" s="2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8.75" customHeight="1">
      <c r="A359" s="5" t="n"/>
      <c r="B359" s="2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8.75" customHeight="1">
      <c r="A360" s="5" t="n"/>
      <c r="B360" s="2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8.75" customHeight="1">
      <c r="A361" s="5" t="n"/>
      <c r="B361" s="2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8.75" customHeight="1">
      <c r="A362" s="5" t="n"/>
      <c r="B362" s="2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8.75" customHeight="1">
      <c r="A363" s="5" t="n"/>
      <c r="B363" s="2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8.75" customHeight="1">
      <c r="A364" s="5" t="n"/>
      <c r="B364" s="2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8.75" customHeight="1">
      <c r="A365" s="5" t="n"/>
      <c r="B365" s="2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8.75" customHeight="1">
      <c r="A366" s="5" t="n"/>
      <c r="B366" s="2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8.75" customHeight="1">
      <c r="A367" s="5" t="n"/>
      <c r="B367" s="2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8.75" customHeight="1">
      <c r="A368" s="5" t="n"/>
      <c r="B368" s="2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8.75" customHeight="1">
      <c r="A369" s="5" t="n"/>
      <c r="B369" s="2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8.75" customHeight="1">
      <c r="A370" s="5" t="n"/>
      <c r="B370" s="2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8.75" customHeight="1">
      <c r="A371" s="5" t="n"/>
      <c r="B371" s="2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8.75" customHeight="1">
      <c r="A372" s="5" t="n"/>
      <c r="B372" s="2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8.75" customHeight="1">
      <c r="A373" s="5" t="n"/>
      <c r="B373" s="2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8.75" customHeight="1">
      <c r="A374" s="5" t="n"/>
      <c r="B374" s="2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8.75" customHeight="1">
      <c r="A375" s="5" t="n"/>
      <c r="B375" s="2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8.75" customHeight="1">
      <c r="A376" s="5" t="n"/>
      <c r="B376" s="2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8.75" customHeight="1">
      <c r="A377" s="5" t="n"/>
      <c r="B377" s="2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8.75" customHeight="1">
      <c r="A378" s="5" t="n"/>
      <c r="B378" s="2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8.75" customHeight="1">
      <c r="A379" s="5" t="n"/>
      <c r="B379" s="2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8.75" customHeight="1">
      <c r="A380" s="5" t="n"/>
      <c r="B380" s="2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8.75" customHeight="1">
      <c r="A381" s="5" t="n"/>
      <c r="B381" s="2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8.75" customHeight="1">
      <c r="A382" s="5" t="n"/>
      <c r="B382" s="2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8.75" customHeight="1">
      <c r="A383" s="5" t="n"/>
      <c r="B383" s="2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8.75" customHeight="1">
      <c r="A384" s="5" t="n"/>
      <c r="B384" s="2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8.75" customHeight="1">
      <c r="A385" s="5" t="n"/>
      <c r="B385" s="2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8.75" customHeight="1">
      <c r="A386" s="5" t="n"/>
      <c r="B386" s="2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8.75" customHeight="1">
      <c r="A387" s="5" t="n"/>
      <c r="B387" s="2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8.75" customHeight="1">
      <c r="A388" s="5" t="n"/>
      <c r="B388" s="2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8.75" customHeight="1">
      <c r="A389" s="5" t="n"/>
      <c r="B389" s="2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8.75" customHeight="1">
      <c r="A390" s="5" t="n"/>
      <c r="B390" s="2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8.75" customHeight="1">
      <c r="A391" s="5" t="n"/>
      <c r="B391" s="2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8.75" customHeight="1">
      <c r="A392" s="5" t="n"/>
      <c r="B392" s="2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8.75" customHeight="1">
      <c r="A393" s="5" t="n"/>
      <c r="B393" s="2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8.75" customHeight="1">
      <c r="A394" s="5" t="n"/>
      <c r="B394" s="2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8.75" customHeight="1">
      <c r="A395" s="5" t="n"/>
      <c r="B395" s="2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8.75" customHeight="1">
      <c r="A396" s="5" t="n"/>
      <c r="B396" s="2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8.75" customHeight="1">
      <c r="A397" s="5" t="n"/>
      <c r="B397" s="2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8.75" customHeight="1">
      <c r="A398" s="5" t="n"/>
      <c r="B398" s="2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8.75" customHeight="1">
      <c r="A399" s="5" t="n"/>
      <c r="B399" s="2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8.75" customHeight="1">
      <c r="A400" s="5" t="n"/>
      <c r="B400" s="2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8.75" customHeight="1">
      <c r="A401" s="5" t="n"/>
      <c r="B401" s="2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8.75" customHeight="1">
      <c r="A402" s="5" t="n"/>
      <c r="B402" s="2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8.75" customHeight="1">
      <c r="A403" s="5" t="n"/>
      <c r="B403" s="2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8.75" customHeight="1">
      <c r="A404" s="5" t="n"/>
      <c r="B404" s="2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8.75" customHeight="1">
      <c r="A405" s="5" t="n"/>
      <c r="B405" s="2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8.75" customHeight="1">
      <c r="A406" s="5" t="n"/>
      <c r="B406" s="2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8.75" customHeight="1">
      <c r="A407" s="5" t="n"/>
      <c r="B407" s="2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8.75" customHeight="1">
      <c r="A408" s="5" t="n"/>
      <c r="B408" s="2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8.75" customHeight="1">
      <c r="A409" s="5" t="n"/>
      <c r="B409" s="2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8.75" customHeight="1">
      <c r="A410" s="5" t="n"/>
      <c r="B410" s="2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8.75" customHeight="1">
      <c r="A411" s="5" t="n"/>
      <c r="B411" s="2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8.75" customHeight="1">
      <c r="A412" s="5" t="n"/>
      <c r="B412" s="2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8.75" customHeight="1">
      <c r="A413" s="5" t="n"/>
      <c r="B413" s="2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8.75" customHeight="1">
      <c r="A414" s="5" t="n"/>
      <c r="B414" s="2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8.75" customHeight="1">
      <c r="A415" s="5" t="n"/>
      <c r="B415" s="2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8.75" customHeight="1">
      <c r="A416" s="5" t="n"/>
      <c r="B416" s="2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8.75" customHeight="1">
      <c r="A417" s="5" t="n"/>
      <c r="B417" s="2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8.75" customHeight="1">
      <c r="A418" s="5" t="n"/>
      <c r="B418" s="2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8.75" customHeight="1">
      <c r="A419" s="5" t="n"/>
      <c r="B419" s="2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8.75" customHeight="1">
      <c r="A420" s="5" t="n"/>
      <c r="B420" s="2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8.75" customHeight="1">
      <c r="A421" s="5" t="n"/>
      <c r="B421" s="2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8.75" customHeight="1">
      <c r="A422" s="5" t="n"/>
      <c r="B422" s="2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8.75" customHeight="1">
      <c r="A423" s="5" t="n"/>
      <c r="B423" s="2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8.75" customHeight="1">
      <c r="A424" s="5" t="n"/>
      <c r="B424" s="2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8.75" customHeight="1">
      <c r="A425" s="5" t="n"/>
      <c r="B425" s="2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8.75" customHeight="1">
      <c r="A426" s="5" t="n"/>
      <c r="B426" s="2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8.75" customHeight="1">
      <c r="A427" s="5" t="n"/>
      <c r="B427" s="2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8.75" customHeight="1">
      <c r="A428" s="5" t="n"/>
      <c r="B428" s="2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8.75" customHeight="1">
      <c r="A429" s="5" t="n"/>
      <c r="B429" s="2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8.75" customHeight="1">
      <c r="A430" s="5" t="n"/>
      <c r="B430" s="2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8.75" customHeight="1">
      <c r="A431" s="5" t="n"/>
      <c r="B431" s="2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8.75" customHeight="1">
      <c r="A432" s="5" t="n"/>
      <c r="B432" s="2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8.75" customHeight="1">
      <c r="A433" s="5" t="n"/>
      <c r="B433" s="2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8.75" customHeight="1">
      <c r="A434" s="5" t="n"/>
      <c r="B434" s="2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8.75" customHeight="1">
      <c r="A435" s="5" t="n"/>
      <c r="B435" s="2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8.75" customHeight="1">
      <c r="A436" s="5" t="n"/>
      <c r="B436" s="2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8.75" customHeight="1">
      <c r="A437" s="5" t="n"/>
      <c r="B437" s="2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8.75" customHeight="1">
      <c r="A438" s="5" t="n"/>
      <c r="B438" s="2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8.75" customHeight="1">
      <c r="A439" s="5" t="n"/>
      <c r="B439" s="2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8.75" customHeight="1">
      <c r="A440" s="5" t="n"/>
      <c r="B440" s="2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8.75" customHeight="1">
      <c r="A441" s="5" t="n"/>
      <c r="B441" s="2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8.75" customHeight="1">
      <c r="A442" s="5" t="n"/>
      <c r="B442" s="2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8.75" customHeight="1">
      <c r="A443" s="5" t="n"/>
      <c r="B443" s="2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8.75" customHeight="1">
      <c r="A444" s="5" t="n"/>
      <c r="B444" s="2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8.75" customHeight="1">
      <c r="A445" s="5" t="n"/>
      <c r="B445" s="2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8.75" customHeight="1">
      <c r="A446" s="5" t="n"/>
      <c r="B446" s="2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8.75" customHeight="1">
      <c r="A447" s="5" t="n"/>
      <c r="B447" s="2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8.75" customHeight="1">
      <c r="A448" s="5" t="n"/>
      <c r="B448" s="2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8.75" customHeight="1">
      <c r="A449" s="5" t="n"/>
      <c r="B449" s="2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8.75" customHeight="1">
      <c r="A450" s="5" t="n"/>
      <c r="B450" s="2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8.75" customHeight="1">
      <c r="A451" s="5" t="n"/>
      <c r="B451" s="2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8.75" customHeight="1">
      <c r="A452" s="5" t="n"/>
      <c r="B452" s="2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8.75" customHeight="1">
      <c r="A453" s="5" t="n"/>
      <c r="B453" s="2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8.75" customHeight="1">
      <c r="A454" s="5" t="n"/>
      <c r="B454" s="2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8.75" customHeight="1">
      <c r="A455" s="5" t="n"/>
      <c r="B455" s="2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8.75" customHeight="1">
      <c r="A456" s="5" t="n"/>
      <c r="B456" s="2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8.75" customHeight="1">
      <c r="A457" s="5" t="n"/>
      <c r="B457" s="2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8.75" customHeight="1">
      <c r="A458" s="5" t="n"/>
      <c r="B458" s="2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8.75" customHeight="1">
      <c r="A459" s="5" t="n"/>
      <c r="B459" s="2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8.75" customHeight="1">
      <c r="A460" s="5" t="n"/>
      <c r="B460" s="2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8.75" customHeight="1">
      <c r="A461" s="5" t="n"/>
      <c r="B461" s="2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8.75" customHeight="1">
      <c r="A462" s="5" t="n"/>
      <c r="B462" s="2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8.75" customHeight="1">
      <c r="A463" s="5" t="n"/>
      <c r="B463" s="2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8.75" customHeight="1">
      <c r="A464" s="5" t="n"/>
      <c r="B464" s="2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8.75" customHeight="1">
      <c r="A465" s="5" t="n"/>
      <c r="B465" s="2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8.75" customHeight="1">
      <c r="A466" s="5" t="n"/>
      <c r="B466" s="2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8.75" customHeight="1">
      <c r="A467" s="5" t="n"/>
      <c r="B467" s="2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8.75" customHeight="1">
      <c r="A468" s="5" t="n"/>
      <c r="B468" s="2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8.75" customHeight="1">
      <c r="A469" s="5" t="n"/>
      <c r="B469" s="2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8.75" customHeight="1">
      <c r="A470" s="5" t="n"/>
      <c r="B470" s="2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8.75" customHeight="1">
      <c r="A471" s="5" t="n"/>
      <c r="B471" s="2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8.75" customHeight="1">
      <c r="A472" s="5" t="n"/>
      <c r="B472" s="2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8.75" customHeight="1">
      <c r="A473" s="5" t="n"/>
      <c r="B473" s="2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8.75" customHeight="1">
      <c r="A474" s="5" t="n"/>
      <c r="B474" s="2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8.75" customHeight="1">
      <c r="A475" s="5" t="n"/>
      <c r="B475" s="2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8.75" customHeight="1">
      <c r="A476" s="5" t="n"/>
      <c r="B476" s="2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8.75" customHeight="1">
      <c r="A477" s="5" t="n"/>
      <c r="B477" s="2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8.75" customHeight="1">
      <c r="A478" s="5" t="n"/>
      <c r="B478" s="2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8.75" customHeight="1">
      <c r="A479" s="5" t="n"/>
      <c r="B479" s="2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8.75" customHeight="1">
      <c r="A480" s="5" t="n"/>
      <c r="B480" s="2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8.75" customHeight="1">
      <c r="A481" s="5" t="n"/>
      <c r="B481" s="2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8.75" customHeight="1">
      <c r="A482" s="5" t="n"/>
      <c r="B482" s="2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8.75" customHeight="1">
      <c r="A483" s="5" t="n"/>
      <c r="B483" s="2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8.75" customHeight="1">
      <c r="A484" s="5" t="n"/>
      <c r="B484" s="2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8.75" customHeight="1">
      <c r="A485" s="5" t="n"/>
      <c r="B485" s="2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8.75" customHeight="1">
      <c r="A486" s="5" t="n"/>
      <c r="B486" s="2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8.75" customHeight="1">
      <c r="A487" s="5" t="n"/>
      <c r="B487" s="2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8.75" customHeight="1">
      <c r="A488" s="5" t="n"/>
      <c r="B488" s="2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8.75" customHeight="1">
      <c r="A489" s="5" t="n"/>
      <c r="B489" s="2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8.75" customHeight="1">
      <c r="A490" s="5" t="n"/>
      <c r="B490" s="2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8.75" customHeight="1">
      <c r="A491" s="5" t="n"/>
      <c r="B491" s="2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8.75" customHeight="1">
      <c r="A492" s="5" t="n"/>
      <c r="B492" s="2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8.75" customHeight="1">
      <c r="A493" s="5" t="n"/>
      <c r="B493" s="2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8.75" customHeight="1">
      <c r="A494" s="5" t="n"/>
      <c r="B494" s="2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8.75" customHeight="1">
      <c r="A495" s="5" t="n"/>
      <c r="B495" s="2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8.75" customHeight="1">
      <c r="A496" s="5" t="n"/>
      <c r="B496" s="2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8.75" customHeight="1">
      <c r="A497" s="5" t="n"/>
      <c r="B497" s="2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8.75" customHeight="1">
      <c r="A498" s="5" t="n"/>
      <c r="B498" s="2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8.75" customHeight="1">
      <c r="A499" s="5" t="n"/>
      <c r="B499" s="2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8.75" customHeight="1">
      <c r="A500" s="5" t="n"/>
      <c r="B500" s="2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8.75" customHeight="1">
      <c r="A501" s="5" t="n"/>
      <c r="B501" s="2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8.75" customHeight="1">
      <c r="A502" s="5" t="n"/>
      <c r="B502" s="2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8.75" customHeight="1">
      <c r="A503" s="5" t="n"/>
      <c r="B503" s="2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8.75" customHeight="1">
      <c r="A504" s="5" t="n"/>
      <c r="B504" s="2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8.75" customHeight="1">
      <c r="A505" s="5" t="n"/>
      <c r="B505" s="2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8.75" customHeight="1">
      <c r="A506" s="5" t="n"/>
      <c r="B506" s="2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8.75" customHeight="1">
      <c r="A507" s="5" t="n"/>
      <c r="B507" s="2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8.75" customHeight="1">
      <c r="A508" s="5" t="n"/>
      <c r="B508" s="2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8.75" customHeight="1">
      <c r="A509" s="5" t="n"/>
      <c r="B509" s="2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8.75" customHeight="1">
      <c r="A510" s="5" t="n"/>
      <c r="B510" s="2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8.75" customHeight="1">
      <c r="A511" s="5" t="n"/>
      <c r="B511" s="2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8.75" customHeight="1">
      <c r="A512" s="5" t="n"/>
      <c r="B512" s="2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8.75" customHeight="1">
      <c r="A513" s="5" t="n"/>
      <c r="B513" s="2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8.75" customHeight="1">
      <c r="A514" s="5" t="n"/>
      <c r="B514" s="2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8.75" customHeight="1">
      <c r="A515" s="5" t="n"/>
      <c r="B515" s="2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8.75" customHeight="1">
      <c r="A516" s="5" t="n"/>
      <c r="B516" s="2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8.75" customHeight="1">
      <c r="A517" s="5" t="n"/>
      <c r="B517" s="2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8.75" customHeight="1">
      <c r="A518" s="5" t="n"/>
      <c r="B518" s="2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8.75" customHeight="1">
      <c r="A519" s="5" t="n"/>
      <c r="B519" s="2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8.75" customHeight="1">
      <c r="A520" s="5" t="n"/>
      <c r="B520" s="2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8.75" customHeight="1">
      <c r="A521" s="5" t="n"/>
      <c r="B521" s="2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8.75" customHeight="1">
      <c r="A522" s="5" t="n"/>
      <c r="B522" s="2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8.75" customHeight="1">
      <c r="A523" s="5" t="n"/>
      <c r="B523" s="2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8.75" customHeight="1">
      <c r="A524" s="5" t="n"/>
      <c r="B524" s="2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8.75" customHeight="1">
      <c r="A525" s="5" t="n"/>
      <c r="B525" s="2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8.75" customHeight="1">
      <c r="A526" s="5" t="n"/>
      <c r="B526" s="2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8.75" customHeight="1">
      <c r="A527" s="5" t="n"/>
      <c r="B527" s="2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8.75" customHeight="1">
      <c r="A528" s="5" t="n"/>
      <c r="B528" s="2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8.75" customHeight="1">
      <c r="A529" s="5" t="n"/>
      <c r="B529" s="2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8.75" customHeight="1">
      <c r="A530" s="5" t="n"/>
      <c r="B530" s="2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8.75" customHeight="1">
      <c r="A531" s="5" t="n"/>
      <c r="B531" s="2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8.75" customHeight="1">
      <c r="A532" s="5" t="n"/>
      <c r="B532" s="2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8.75" customHeight="1">
      <c r="A533" s="5" t="n"/>
      <c r="B533" s="2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8.75" customHeight="1">
      <c r="A534" s="5" t="n"/>
      <c r="B534" s="2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8.75" customHeight="1">
      <c r="A535" s="5" t="n"/>
      <c r="B535" s="2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8.75" customHeight="1">
      <c r="A536" s="5" t="n"/>
      <c r="B536" s="2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8.75" customHeight="1">
      <c r="A537" s="5" t="n"/>
      <c r="B537" s="2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8.75" customHeight="1">
      <c r="A538" s="5" t="n"/>
      <c r="B538" s="2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8.75" customHeight="1">
      <c r="A539" s="5" t="n"/>
      <c r="B539" s="2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8.75" customHeight="1">
      <c r="A540" s="5" t="n"/>
      <c r="B540" s="2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8.75" customHeight="1">
      <c r="A541" s="5" t="n"/>
      <c r="B541" s="2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8.75" customHeight="1">
      <c r="A542" s="5" t="n"/>
      <c r="B542" s="2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8.75" customHeight="1">
      <c r="A543" s="5" t="n"/>
      <c r="B543" s="2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8.75" customHeight="1">
      <c r="A544" s="5" t="n"/>
      <c r="B544" s="2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8.75" customHeight="1">
      <c r="A545" s="5" t="n"/>
      <c r="B545" s="2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8.75" customHeight="1">
      <c r="A546" s="5" t="n"/>
      <c r="B546" s="2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8.75" customHeight="1">
      <c r="A547" s="5" t="n"/>
      <c r="B547" s="2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8.75" customHeight="1">
      <c r="A548" s="5" t="n"/>
      <c r="B548" s="2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8.75" customHeight="1">
      <c r="A549" s="5" t="n"/>
      <c r="B549" s="2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8.75" customHeight="1">
      <c r="A550" s="5" t="n"/>
      <c r="B550" s="2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8.75" customHeight="1">
      <c r="A551" s="5" t="n"/>
      <c r="B551" s="2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8.75" customHeight="1">
      <c r="A552" s="5" t="n"/>
      <c r="B552" s="2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8.75" customHeight="1">
      <c r="A553" s="5" t="n"/>
      <c r="B553" s="2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8.75" customHeight="1">
      <c r="A554" s="5" t="n"/>
      <c r="B554" s="2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8.75" customHeight="1">
      <c r="A555" s="5" t="n"/>
      <c r="B555" s="2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8.75" customHeight="1">
      <c r="A556" s="5" t="n"/>
      <c r="B556" s="2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8.75" customHeight="1">
      <c r="A557" s="5" t="n"/>
      <c r="B557" s="2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8.75" customHeight="1">
      <c r="A558" s="5" t="n"/>
      <c r="B558" s="2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8.75" customHeight="1">
      <c r="A559" s="5" t="n"/>
      <c r="B559" s="2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8.75" customHeight="1">
      <c r="A560" s="5" t="n"/>
      <c r="B560" s="2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8.75" customHeight="1">
      <c r="A561" s="5" t="n"/>
      <c r="B561" s="2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8.75" customHeight="1">
      <c r="A562" s="5" t="n"/>
      <c r="B562" s="2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8.75" customHeight="1">
      <c r="A563" s="5" t="n"/>
      <c r="B563" s="2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8.75" customHeight="1">
      <c r="A564" s="5" t="n"/>
      <c r="B564" s="2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8.75" customHeight="1">
      <c r="A565" s="5" t="n"/>
      <c r="B565" s="2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8.75" customHeight="1">
      <c r="A566" s="5" t="n"/>
      <c r="B566" s="2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8.75" customHeight="1">
      <c r="A567" s="5" t="n"/>
      <c r="B567" s="2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8.75" customHeight="1">
      <c r="A568" s="5" t="n"/>
      <c r="B568" s="2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8.75" customHeight="1">
      <c r="A569" s="5" t="n"/>
      <c r="B569" s="2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8.75" customHeight="1">
      <c r="A570" s="5" t="n"/>
      <c r="B570" s="2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8.75" customHeight="1">
      <c r="A571" s="5" t="n"/>
      <c r="B571" s="2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8.75" customHeight="1">
      <c r="A572" s="5" t="n"/>
      <c r="B572" s="2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8.75" customHeight="1">
      <c r="A573" s="5" t="n"/>
      <c r="B573" s="2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8.75" customHeight="1">
      <c r="A574" s="5" t="n"/>
      <c r="B574" s="2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8.75" customHeight="1">
      <c r="A575" s="5" t="n"/>
      <c r="B575" s="2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8.75" customHeight="1">
      <c r="A576" s="5" t="n"/>
      <c r="B576" s="2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8.75" customHeight="1">
      <c r="A577" s="5" t="n"/>
      <c r="B577" s="2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8.75" customHeight="1">
      <c r="A578" s="5" t="n"/>
      <c r="B578" s="2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8.75" customHeight="1">
      <c r="A579" s="5" t="n"/>
      <c r="B579" s="2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8.75" customHeight="1">
      <c r="A580" s="5" t="n"/>
      <c r="B580" s="2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8.75" customHeight="1">
      <c r="A581" s="5" t="n"/>
      <c r="B581" s="2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8.75" customHeight="1">
      <c r="A582" s="5" t="n"/>
      <c r="B582" s="2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8.75" customHeight="1">
      <c r="A583" s="5" t="n"/>
      <c r="B583" s="2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8.75" customHeight="1">
      <c r="A584" s="5" t="n"/>
      <c r="B584" s="2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8.75" customHeight="1">
      <c r="A585" s="5" t="n"/>
      <c r="B585" s="2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8.75" customHeight="1">
      <c r="A586" s="5" t="n"/>
      <c r="B586" s="2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8.75" customHeight="1">
      <c r="A587" s="5" t="n"/>
      <c r="B587" s="2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8.75" customHeight="1">
      <c r="A588" s="5" t="n"/>
      <c r="B588" s="2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8.75" customHeight="1">
      <c r="A589" s="5" t="n"/>
      <c r="B589" s="2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8.75" customHeight="1">
      <c r="A590" s="5" t="n"/>
      <c r="B590" s="2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8.75" customHeight="1">
      <c r="A591" s="5" t="n"/>
      <c r="B591" s="2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8.75" customHeight="1">
      <c r="A592" s="5" t="n"/>
      <c r="B592" s="2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8.75" customHeight="1">
      <c r="A593" s="5" t="n"/>
      <c r="B593" s="2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8.75" customHeight="1">
      <c r="A594" s="5" t="n"/>
      <c r="B594" s="2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8.75" customHeight="1">
      <c r="A595" s="5" t="n"/>
      <c r="B595" s="2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8.75" customHeight="1">
      <c r="A596" s="5" t="n"/>
      <c r="B596" s="2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8.75" customHeight="1">
      <c r="A597" s="5" t="n"/>
      <c r="B597" s="2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8.75" customHeight="1">
      <c r="A598" s="5" t="n"/>
      <c r="B598" s="2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8.75" customHeight="1">
      <c r="A599" s="5" t="n"/>
      <c r="B599" s="2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8.75" customHeight="1">
      <c r="A600" s="5" t="n"/>
      <c r="B600" s="2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8.75" customHeight="1">
      <c r="A601" s="5" t="n"/>
      <c r="B601" s="2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8.75" customHeight="1">
      <c r="A602" s="5" t="n"/>
      <c r="B602" s="2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8.75" customHeight="1">
      <c r="A603" s="5" t="n"/>
      <c r="B603" s="2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8.75" customHeight="1">
      <c r="A604" s="5" t="n"/>
      <c r="B604" s="2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8.75" customHeight="1">
      <c r="A605" s="5" t="n"/>
      <c r="B605" s="2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8.75" customHeight="1">
      <c r="A606" s="5" t="n"/>
      <c r="B606" s="2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8.75" customHeight="1">
      <c r="A607" s="5" t="n"/>
      <c r="B607" s="2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8.75" customHeight="1">
      <c r="A608" s="5" t="n"/>
      <c r="B608" s="2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8.75" customHeight="1">
      <c r="A609" s="5" t="n"/>
      <c r="B609" s="2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8.75" customHeight="1">
      <c r="A610" s="5" t="n"/>
      <c r="B610" s="2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8.75" customHeight="1">
      <c r="A611" s="5" t="n"/>
      <c r="B611" s="2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8.75" customHeight="1">
      <c r="A612" s="5" t="n"/>
      <c r="B612" s="2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8.75" customHeight="1">
      <c r="A613" s="5" t="n"/>
      <c r="B613" s="2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8.75" customHeight="1">
      <c r="A614" s="5" t="n"/>
      <c r="B614" s="2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8.75" customHeight="1">
      <c r="A615" s="5" t="n"/>
      <c r="B615" s="2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8.75" customHeight="1">
      <c r="A616" s="5" t="n"/>
      <c r="B616" s="2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8.75" customHeight="1">
      <c r="A617" s="5" t="n"/>
      <c r="B617" s="2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8.75" customHeight="1">
      <c r="A618" s="5" t="n"/>
      <c r="B618" s="2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8.75" customHeight="1">
      <c r="A619" s="5" t="n"/>
      <c r="B619" s="2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8.75" customHeight="1">
      <c r="A620" s="5" t="n"/>
      <c r="B620" s="2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8.75" customHeight="1">
      <c r="A621" s="5" t="n"/>
      <c r="B621" s="2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8.75" customHeight="1">
      <c r="A622" s="5" t="n"/>
      <c r="B622" s="2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8.75" customHeight="1">
      <c r="A623" s="5" t="n"/>
      <c r="B623" s="2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8.75" customHeight="1">
      <c r="A624" s="5" t="n"/>
      <c r="B624" s="2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8.75" customHeight="1">
      <c r="A625" s="5" t="n"/>
      <c r="B625" s="2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8.75" customHeight="1">
      <c r="A626" s="5" t="n"/>
      <c r="B626" s="2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8.75" customHeight="1">
      <c r="A627" s="5" t="n"/>
      <c r="B627" s="2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8.75" customHeight="1">
      <c r="A628" s="5" t="n"/>
      <c r="B628" s="2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8.75" customHeight="1">
      <c r="A629" s="5" t="n"/>
      <c r="B629" s="2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8.75" customHeight="1">
      <c r="A630" s="5" t="n"/>
      <c r="B630" s="2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8.75" customHeight="1">
      <c r="A631" s="5" t="n"/>
      <c r="B631" s="2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8.75" customHeight="1">
      <c r="A632" s="5" t="n"/>
      <c r="B632" s="2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8.75" customHeight="1">
      <c r="A633" s="5" t="n"/>
      <c r="B633" s="2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8.75" customHeight="1">
      <c r="A634" s="5" t="n"/>
      <c r="B634" s="2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8.75" customHeight="1">
      <c r="A635" s="5" t="n"/>
      <c r="B635" s="2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8.75" customHeight="1">
      <c r="A636" s="5" t="n"/>
      <c r="B636" s="2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8.75" customHeight="1">
      <c r="A637" s="5" t="n"/>
      <c r="B637" s="2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8.75" customHeight="1">
      <c r="A638" s="5" t="n"/>
      <c r="B638" s="2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8.75" customHeight="1">
      <c r="A639" s="5" t="n"/>
      <c r="B639" s="2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8.75" customHeight="1">
      <c r="A640" s="5" t="n"/>
      <c r="B640" s="2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8.75" customHeight="1">
      <c r="A641" s="5" t="n"/>
      <c r="B641" s="2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8.75" customHeight="1">
      <c r="A642" s="5" t="n"/>
      <c r="B642" s="2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8.75" customHeight="1">
      <c r="A643" s="5" t="n"/>
      <c r="B643" s="2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8.75" customHeight="1">
      <c r="A644" s="5" t="n"/>
      <c r="B644" s="2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8.75" customHeight="1">
      <c r="A645" s="5" t="n"/>
      <c r="B645" s="2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8.75" customHeight="1">
      <c r="A646" s="5" t="n"/>
      <c r="B646" s="2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8.75" customHeight="1">
      <c r="A647" s="5" t="n"/>
      <c r="B647" s="2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8.75" customHeight="1">
      <c r="A648" s="5" t="n"/>
      <c r="B648" s="2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8.75" customHeight="1">
      <c r="A649" s="5" t="n"/>
      <c r="B649" s="2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8.75" customHeight="1">
      <c r="A650" s="5" t="n"/>
      <c r="B650" s="2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8.75" customHeight="1">
      <c r="A651" s="5" t="n"/>
      <c r="B651" s="2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8.75" customHeight="1">
      <c r="A652" s="5" t="n"/>
      <c r="B652" s="2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8.75" customHeight="1">
      <c r="A653" s="5" t="n"/>
      <c r="B653" s="2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8.75" customHeight="1">
      <c r="A654" s="5" t="n"/>
      <c r="B654" s="2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8.75" customHeight="1">
      <c r="A655" s="5" t="n"/>
      <c r="B655" s="2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8.75" customHeight="1">
      <c r="A656" s="5" t="n"/>
      <c r="B656" s="2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8.75" customHeight="1">
      <c r="A657" s="5" t="n"/>
      <c r="B657" s="2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8.75" customHeight="1">
      <c r="A658" s="5" t="n"/>
      <c r="B658" s="2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8.75" customHeight="1">
      <c r="A659" s="5" t="n"/>
      <c r="B659" s="2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8.75" customHeight="1">
      <c r="A660" s="5" t="n"/>
      <c r="B660" s="2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8.75" customHeight="1">
      <c r="A661" s="5" t="n"/>
      <c r="B661" s="2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8.75" customHeight="1">
      <c r="A662" s="5" t="n"/>
      <c r="B662" s="2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8.75" customHeight="1">
      <c r="A663" s="5" t="n"/>
      <c r="B663" s="2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8.75" customHeight="1">
      <c r="A664" s="5" t="n"/>
      <c r="B664" s="2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8.75" customHeight="1">
      <c r="A665" s="5" t="n"/>
      <c r="B665" s="2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8.75" customHeight="1">
      <c r="A666" s="5" t="n"/>
      <c r="B666" s="2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8.75" customHeight="1">
      <c r="A667" s="5" t="n"/>
      <c r="B667" s="2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8.75" customHeight="1">
      <c r="A668" s="5" t="n"/>
      <c r="B668" s="2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8.75" customHeight="1">
      <c r="A669" s="5" t="n"/>
      <c r="B669" s="2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8.75" customHeight="1">
      <c r="A670" s="5" t="n"/>
      <c r="B670" s="2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8.75" customHeight="1">
      <c r="A671" s="5" t="n"/>
      <c r="B671" s="2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8.75" customHeight="1">
      <c r="A672" s="5" t="n"/>
      <c r="B672" s="2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8.75" customHeight="1">
      <c r="A673" s="5" t="n"/>
      <c r="B673" s="2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8.75" customHeight="1">
      <c r="A674" s="5" t="n"/>
      <c r="B674" s="2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8.75" customHeight="1">
      <c r="A675" s="5" t="n"/>
      <c r="B675" s="2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8.75" customHeight="1">
      <c r="A676" s="5" t="n"/>
      <c r="B676" s="2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8.75" customHeight="1">
      <c r="A677" s="5" t="n"/>
      <c r="B677" s="2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8.75" customHeight="1">
      <c r="A678" s="5" t="n"/>
      <c r="B678" s="2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8.75" customHeight="1">
      <c r="A679" s="5" t="n"/>
      <c r="B679" s="2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8.75" customHeight="1">
      <c r="A680" s="5" t="n"/>
      <c r="B680" s="2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8.75" customHeight="1">
      <c r="A681" s="5" t="n"/>
      <c r="B681" s="2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8.75" customHeight="1">
      <c r="A682" s="5" t="n"/>
      <c r="B682" s="2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8.75" customHeight="1">
      <c r="A683" s="5" t="n"/>
      <c r="B683" s="2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8.75" customHeight="1">
      <c r="A684" s="5" t="n"/>
      <c r="B684" s="2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8.75" customHeight="1">
      <c r="A685" s="5" t="n"/>
      <c r="B685" s="2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8.75" customHeight="1">
      <c r="A686" s="5" t="n"/>
      <c r="B686" s="2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8.75" customHeight="1">
      <c r="A687" s="5" t="n"/>
      <c r="B687" s="2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8.75" customHeight="1">
      <c r="A688" s="5" t="n"/>
      <c r="B688" s="2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8.75" customHeight="1">
      <c r="A689" s="5" t="n"/>
      <c r="B689" s="2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8.75" customHeight="1">
      <c r="A690" s="5" t="n"/>
      <c r="B690" s="2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8.75" customHeight="1">
      <c r="A691" s="5" t="n"/>
      <c r="B691" s="2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8.75" customHeight="1">
      <c r="A692" s="5" t="n"/>
      <c r="B692" s="2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8.75" customHeight="1">
      <c r="A693" s="5" t="n"/>
      <c r="B693" s="2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8.75" customHeight="1">
      <c r="A694" s="5" t="n"/>
      <c r="B694" s="2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8.75" customHeight="1">
      <c r="A695" s="5" t="n"/>
      <c r="B695" s="2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8.75" customHeight="1">
      <c r="A696" s="5" t="n"/>
      <c r="B696" s="2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8.75" customHeight="1">
      <c r="A697" s="5" t="n"/>
      <c r="B697" s="2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8.75" customHeight="1">
      <c r="A698" s="5" t="n"/>
      <c r="B698" s="2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8.75" customHeight="1">
      <c r="A699" s="5" t="n"/>
      <c r="B699" s="2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8.75" customHeight="1">
      <c r="A700" s="5" t="n"/>
      <c r="B700" s="2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8.75" customHeight="1">
      <c r="A701" s="5" t="n"/>
      <c r="B701" s="2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8.75" customHeight="1">
      <c r="A702" s="5" t="n"/>
      <c r="B702" s="2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8.75" customHeight="1">
      <c r="A703" s="5" t="n"/>
      <c r="B703" s="2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8.75" customHeight="1">
      <c r="A704" s="5" t="n"/>
      <c r="B704" s="2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8.75" customHeight="1">
      <c r="A705" s="5" t="n"/>
      <c r="B705" s="2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8.75" customHeight="1">
      <c r="A706" s="5" t="n"/>
      <c r="B706" s="2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8.75" customHeight="1">
      <c r="A707" s="5" t="n"/>
      <c r="B707" s="2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8.75" customHeight="1">
      <c r="A708" s="5" t="n"/>
      <c r="B708" s="2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8.75" customHeight="1">
      <c r="A709" s="5" t="n"/>
      <c r="B709" s="2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8.75" customHeight="1">
      <c r="A710" s="5" t="n"/>
      <c r="B710" s="2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8.75" customHeight="1">
      <c r="A711" s="5" t="n"/>
      <c r="B711" s="2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8.75" customHeight="1">
      <c r="A712" s="5" t="n"/>
      <c r="B712" s="2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8.75" customHeight="1">
      <c r="A713" s="5" t="n"/>
      <c r="B713" s="2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8.75" customHeight="1">
      <c r="A714" s="5" t="n"/>
      <c r="B714" s="2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8.75" customHeight="1">
      <c r="A715" s="5" t="n"/>
      <c r="B715" s="2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8.75" customHeight="1">
      <c r="A716" s="5" t="n"/>
      <c r="B716" s="2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8.75" customHeight="1">
      <c r="A717" s="5" t="n"/>
      <c r="B717" s="2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8.75" customHeight="1">
      <c r="A718" s="5" t="n"/>
      <c r="B718" s="2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8.75" customHeight="1">
      <c r="A719" s="5" t="n"/>
      <c r="B719" s="2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8.75" customHeight="1">
      <c r="A720" s="5" t="n"/>
      <c r="B720" s="2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8.75" customHeight="1">
      <c r="A721" s="5" t="n"/>
      <c r="B721" s="2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8.75" customHeight="1">
      <c r="A722" s="5" t="n"/>
      <c r="B722" s="2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8.75" customHeight="1">
      <c r="A723" s="5" t="n"/>
      <c r="B723" s="2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8.75" customHeight="1">
      <c r="A724" s="5" t="n"/>
      <c r="B724" s="2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8.75" customHeight="1">
      <c r="A725" s="5" t="n"/>
      <c r="B725" s="2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8.75" customHeight="1">
      <c r="A726" s="5" t="n"/>
      <c r="B726" s="2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8.75" customHeight="1">
      <c r="A727" s="5" t="n"/>
      <c r="B727" s="2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8.75" customHeight="1">
      <c r="A728" s="5" t="n"/>
      <c r="B728" s="2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8.75" customHeight="1">
      <c r="A729" s="5" t="n"/>
      <c r="B729" s="2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8.75" customHeight="1">
      <c r="A730" s="5" t="n"/>
      <c r="B730" s="2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8.75" customHeight="1">
      <c r="A731" s="5" t="n"/>
      <c r="B731" s="2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8.75" customHeight="1">
      <c r="A732" s="5" t="n"/>
      <c r="B732" s="2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8.75" customHeight="1">
      <c r="A733" s="5" t="n"/>
      <c r="B733" s="2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8.75" customHeight="1">
      <c r="A734" s="5" t="n"/>
      <c r="B734" s="2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8.75" customHeight="1">
      <c r="A735" s="5" t="n"/>
      <c r="B735" s="2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8.75" customHeight="1">
      <c r="A736" s="5" t="n"/>
      <c r="B736" s="2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8.75" customHeight="1">
      <c r="A737" s="5" t="n"/>
      <c r="B737" s="2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8.75" customHeight="1">
      <c r="A738" s="5" t="n"/>
      <c r="B738" s="2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8.75" customHeight="1">
      <c r="A739" s="5" t="n"/>
      <c r="B739" s="2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8.75" customHeight="1">
      <c r="A740" s="5" t="n"/>
      <c r="B740" s="2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8.75" customHeight="1">
      <c r="A741" s="5" t="n"/>
      <c r="B741" s="2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8.75" customHeight="1">
      <c r="A742" s="5" t="n"/>
      <c r="B742" s="2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8.75" customHeight="1">
      <c r="A743" s="5" t="n"/>
      <c r="B743" s="2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8.75" customHeight="1">
      <c r="A744" s="5" t="n"/>
      <c r="B744" s="2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8.75" customHeight="1">
      <c r="A745" s="5" t="n"/>
      <c r="B745" s="2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8.75" customHeight="1">
      <c r="A746" s="5" t="n"/>
      <c r="B746" s="2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8.75" customHeight="1">
      <c r="A747" s="5" t="n"/>
      <c r="B747" s="2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8.75" customHeight="1">
      <c r="A748" s="5" t="n"/>
      <c r="B748" s="2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8.75" customHeight="1">
      <c r="A749" s="5" t="n"/>
      <c r="B749" s="2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8.75" customHeight="1">
      <c r="A750" s="5" t="n"/>
      <c r="B750" s="2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8.75" customHeight="1">
      <c r="A751" s="5" t="n"/>
      <c r="B751" s="2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8.75" customHeight="1">
      <c r="A752" s="5" t="n"/>
      <c r="B752" s="2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8.75" customHeight="1">
      <c r="A753" s="5" t="n"/>
      <c r="B753" s="2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8.75" customHeight="1">
      <c r="A754" s="5" t="n"/>
      <c r="B754" s="2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8.75" customHeight="1">
      <c r="A755" s="5" t="n"/>
      <c r="B755" s="2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8.75" customHeight="1">
      <c r="A756" s="5" t="n"/>
      <c r="B756" s="2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8.75" customHeight="1">
      <c r="A757" s="5" t="n"/>
      <c r="B757" s="2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8.75" customHeight="1">
      <c r="A758" s="5" t="n"/>
      <c r="B758" s="2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8.75" customHeight="1">
      <c r="A759" s="5" t="n"/>
      <c r="B759" s="2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8.75" customHeight="1">
      <c r="A760" s="5" t="n"/>
      <c r="B760" s="2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8.75" customHeight="1">
      <c r="A761" s="5" t="n"/>
      <c r="B761" s="2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8.75" customHeight="1">
      <c r="A762" s="5" t="n"/>
      <c r="B762" s="2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8.75" customHeight="1">
      <c r="A763" s="5" t="n"/>
      <c r="B763" s="2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8.75" customHeight="1">
      <c r="A764" s="5" t="n"/>
      <c r="B764" s="2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8.75" customHeight="1">
      <c r="A765" s="5" t="n"/>
      <c r="B765" s="2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8.75" customHeight="1">
      <c r="A766" s="5" t="n"/>
      <c r="B766" s="2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8.75" customHeight="1">
      <c r="A767" s="5" t="n"/>
      <c r="B767" s="2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8.75" customHeight="1">
      <c r="A768" s="5" t="n"/>
      <c r="B768" s="2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8.75" customHeight="1">
      <c r="A769" s="5" t="n"/>
      <c r="B769" s="2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8.75" customHeight="1">
      <c r="A770" s="5" t="n"/>
      <c r="B770" s="2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8.75" customHeight="1">
      <c r="A771" s="5" t="n"/>
      <c r="B771" s="2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8.75" customHeight="1">
      <c r="A772" s="5" t="n"/>
      <c r="B772" s="2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8.75" customHeight="1">
      <c r="A773" s="5" t="n"/>
      <c r="B773" s="2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8.75" customHeight="1">
      <c r="A774" s="5" t="n"/>
      <c r="B774" s="2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8.75" customHeight="1">
      <c r="A775" s="5" t="n"/>
      <c r="B775" s="2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8.75" customHeight="1">
      <c r="A776" s="5" t="n"/>
      <c r="B776" s="2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8.75" customHeight="1">
      <c r="A777" s="5" t="n"/>
      <c r="B777" s="2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8.75" customHeight="1">
      <c r="A778" s="5" t="n"/>
      <c r="B778" s="2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8.75" customHeight="1">
      <c r="A779" s="5" t="n"/>
      <c r="B779" s="2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8.75" customHeight="1">
      <c r="A780" s="5" t="n"/>
      <c r="B780" s="2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8.75" customHeight="1">
      <c r="A781" s="5" t="n"/>
      <c r="B781" s="2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8.75" customHeight="1">
      <c r="A782" s="5" t="n"/>
      <c r="B782" s="2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8.75" customHeight="1">
      <c r="A783" s="5" t="n"/>
      <c r="B783" s="2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8.75" customHeight="1">
      <c r="A784" s="5" t="n"/>
      <c r="B784" s="2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8.75" customHeight="1">
      <c r="A785" s="5" t="n"/>
      <c r="B785" s="2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8.75" customHeight="1">
      <c r="A786" s="5" t="n"/>
      <c r="B786" s="2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8.75" customHeight="1">
      <c r="A787" s="5" t="n"/>
      <c r="B787" s="2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8.75" customHeight="1">
      <c r="A788" s="5" t="n"/>
      <c r="B788" s="2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8.75" customHeight="1">
      <c r="A789" s="5" t="n"/>
      <c r="B789" s="2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8.75" customHeight="1">
      <c r="A790" s="5" t="n"/>
      <c r="B790" s="2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8.75" customHeight="1">
      <c r="A791" s="5" t="n"/>
      <c r="B791" s="2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8.75" customHeight="1">
      <c r="A792" s="5" t="n"/>
      <c r="B792" s="2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8.75" customHeight="1">
      <c r="A793" s="5" t="n"/>
      <c r="B793" s="2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8.75" customHeight="1">
      <c r="A794" s="5" t="n"/>
      <c r="B794" s="2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8.75" customHeight="1">
      <c r="A795" s="5" t="n"/>
      <c r="B795" s="2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8.75" customHeight="1">
      <c r="A796" s="5" t="n"/>
      <c r="B796" s="2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8.75" customHeight="1">
      <c r="A797" s="5" t="n"/>
      <c r="B797" s="2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8.75" customHeight="1">
      <c r="A798" s="5" t="n"/>
      <c r="B798" s="2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8.75" customHeight="1">
      <c r="A799" s="5" t="n"/>
      <c r="B799" s="2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8.75" customHeight="1">
      <c r="A800" s="5" t="n"/>
      <c r="B800" s="2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8.75" customHeight="1">
      <c r="A801" s="5" t="n"/>
      <c r="B801" s="2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8.75" customHeight="1">
      <c r="A802" s="5" t="n"/>
      <c r="B802" s="2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8.75" customHeight="1">
      <c r="A803" s="5" t="n"/>
      <c r="B803" s="2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8.75" customHeight="1">
      <c r="A804" s="5" t="n"/>
      <c r="B804" s="2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8.75" customHeight="1">
      <c r="A805" s="5" t="n"/>
      <c r="B805" s="2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8.75" customHeight="1">
      <c r="A806" s="5" t="n"/>
      <c r="B806" s="2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8.75" customHeight="1">
      <c r="A807" s="5" t="n"/>
      <c r="B807" s="2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8.75" customHeight="1">
      <c r="A808" s="5" t="n"/>
      <c r="B808" s="2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8.75" customHeight="1">
      <c r="A809" s="5" t="n"/>
      <c r="B809" s="2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8.75" customHeight="1">
      <c r="A810" s="5" t="n"/>
      <c r="B810" s="2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8.75" customHeight="1">
      <c r="A811" s="5" t="n"/>
      <c r="B811" s="2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8.75" customHeight="1">
      <c r="A812" s="5" t="n"/>
      <c r="B812" s="2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8.75" customHeight="1">
      <c r="A813" s="5" t="n"/>
      <c r="B813" s="2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8.75" customHeight="1">
      <c r="A814" s="5" t="n"/>
      <c r="B814" s="2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8.75" customHeight="1">
      <c r="A815" s="5" t="n"/>
      <c r="B815" s="2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8.75" customHeight="1">
      <c r="A816" s="5" t="n"/>
      <c r="B816" s="2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8.75" customHeight="1">
      <c r="A817" s="5" t="n"/>
      <c r="B817" s="2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8.75" customHeight="1">
      <c r="A818" s="5" t="n"/>
      <c r="B818" s="2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8.75" customHeight="1">
      <c r="A819" s="5" t="n"/>
      <c r="B819" s="2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8.75" customHeight="1">
      <c r="A820" s="5" t="n"/>
      <c r="B820" s="2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8.75" customHeight="1">
      <c r="A821" s="5" t="n"/>
      <c r="B821" s="2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8.75" customHeight="1">
      <c r="A822" s="5" t="n"/>
      <c r="B822" s="2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8.75" customHeight="1">
      <c r="A823" s="5" t="n"/>
      <c r="B823" s="2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8.75" customHeight="1">
      <c r="A824" s="5" t="n"/>
      <c r="B824" s="2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8.75" customHeight="1">
      <c r="A825" s="5" t="n"/>
      <c r="B825" s="2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8.75" customHeight="1">
      <c r="A826" s="5" t="n"/>
      <c r="B826" s="2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8.75" customHeight="1">
      <c r="A827" s="5" t="n"/>
      <c r="B827" s="2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8.75" customHeight="1">
      <c r="A828" s="5" t="n"/>
      <c r="B828" s="2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8.75" customHeight="1">
      <c r="A829" s="5" t="n"/>
      <c r="B829" s="2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8.75" customHeight="1">
      <c r="A830" s="5" t="n"/>
      <c r="B830" s="2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8.75" customHeight="1">
      <c r="A831" s="5" t="n"/>
      <c r="B831" s="2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8.75" customHeight="1">
      <c r="A832" s="5" t="n"/>
      <c r="B832" s="2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8.75" customHeight="1">
      <c r="A833" s="5" t="n"/>
      <c r="B833" s="2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8.75" customHeight="1">
      <c r="A834" s="5" t="n"/>
      <c r="B834" s="2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8.75" customHeight="1">
      <c r="A835" s="5" t="n"/>
      <c r="B835" s="2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8.75" customHeight="1">
      <c r="A836" s="5" t="n"/>
      <c r="B836" s="2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8.75" customHeight="1">
      <c r="A837" s="5" t="n"/>
      <c r="B837" s="2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8.75" customHeight="1">
      <c r="A838" s="5" t="n"/>
      <c r="B838" s="2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8.75" customHeight="1">
      <c r="A839" s="5" t="n"/>
      <c r="B839" s="2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8.75" customHeight="1">
      <c r="A840" s="5" t="n"/>
      <c r="B840" s="2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8.75" customHeight="1">
      <c r="A841" s="5" t="n"/>
      <c r="B841" s="2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8.75" customHeight="1">
      <c r="A842" s="5" t="n"/>
      <c r="B842" s="2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8.75" customHeight="1">
      <c r="A843" s="5" t="n"/>
      <c r="B843" s="2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8.75" customHeight="1">
      <c r="A844" s="5" t="n"/>
      <c r="B844" s="2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8.75" customHeight="1">
      <c r="A845" s="5" t="n"/>
      <c r="B845" s="2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8.75" customHeight="1">
      <c r="A846" s="5" t="n"/>
      <c r="B846" s="2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8.75" customHeight="1">
      <c r="A847" s="5" t="n"/>
      <c r="B847" s="2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8.75" customHeight="1">
      <c r="A848" s="5" t="n"/>
      <c r="B848" s="2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8.75" customHeight="1">
      <c r="A849" s="5" t="n"/>
      <c r="B849" s="2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8.75" customHeight="1">
      <c r="A850" s="5" t="n"/>
      <c r="B850" s="2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8.75" customHeight="1">
      <c r="A851" s="5" t="n"/>
      <c r="B851" s="2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8.75" customHeight="1">
      <c r="A852" s="5" t="n"/>
      <c r="B852" s="2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8.75" customHeight="1">
      <c r="A853" s="5" t="n"/>
      <c r="B853" s="2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8.75" customHeight="1">
      <c r="A854" s="5" t="n"/>
      <c r="B854" s="2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8.75" customHeight="1">
      <c r="A855" s="5" t="n"/>
      <c r="B855" s="2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8.75" customHeight="1">
      <c r="A856" s="5" t="n"/>
      <c r="B856" s="2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8.75" customHeight="1">
      <c r="A857" s="5" t="n"/>
      <c r="B857" s="2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8.75" customHeight="1">
      <c r="A858" s="5" t="n"/>
      <c r="B858" s="2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8.75" customHeight="1">
      <c r="A859" s="5" t="n"/>
      <c r="B859" s="2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8.75" customHeight="1">
      <c r="A860" s="5" t="n"/>
      <c r="B860" s="2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8.75" customHeight="1">
      <c r="A861" s="5" t="n"/>
      <c r="B861" s="2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8.75" customHeight="1">
      <c r="A862" s="5" t="n"/>
      <c r="B862" s="2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8.75" customHeight="1">
      <c r="A863" s="5" t="n"/>
      <c r="B863" s="2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8.75" customHeight="1">
      <c r="A864" s="5" t="n"/>
      <c r="B864" s="2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8.75" customHeight="1">
      <c r="A865" s="5" t="n"/>
      <c r="B865" s="2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8.75" customHeight="1">
      <c r="A866" s="5" t="n"/>
      <c r="B866" s="2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8.75" customHeight="1">
      <c r="A867" s="5" t="n"/>
      <c r="B867" s="2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8.75" customHeight="1">
      <c r="A868" s="5" t="n"/>
      <c r="B868" s="2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8.75" customHeight="1">
      <c r="A869" s="5" t="n"/>
      <c r="B869" s="2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8.75" customHeight="1">
      <c r="A870" s="5" t="n"/>
      <c r="B870" s="2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8.75" customHeight="1">
      <c r="A871" s="5" t="n"/>
      <c r="B871" s="2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8.75" customHeight="1">
      <c r="A872" s="5" t="n"/>
      <c r="B872" s="2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8.75" customHeight="1">
      <c r="A873" s="5" t="n"/>
      <c r="B873" s="2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8.75" customHeight="1">
      <c r="A874" s="5" t="n"/>
      <c r="B874" s="2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8.75" customHeight="1">
      <c r="A875" s="5" t="n"/>
      <c r="B875" s="2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8.75" customHeight="1">
      <c r="A876" s="5" t="n"/>
      <c r="B876" s="2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8.75" customHeight="1">
      <c r="A877" s="5" t="n"/>
      <c r="B877" s="2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8.75" customHeight="1">
      <c r="A878" s="5" t="n"/>
      <c r="B878" s="2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8.75" customHeight="1">
      <c r="A879" s="5" t="n"/>
      <c r="B879" s="2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8.75" customHeight="1">
      <c r="A880" s="5" t="n"/>
      <c r="B880" s="2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8.75" customHeight="1">
      <c r="A881" s="5" t="n"/>
      <c r="B881" s="2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8.75" customHeight="1">
      <c r="A882" s="5" t="n"/>
      <c r="B882" s="2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8.75" customHeight="1">
      <c r="A883" s="5" t="n"/>
      <c r="B883" s="2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8.75" customHeight="1">
      <c r="A884" s="5" t="n"/>
      <c r="B884" s="2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8.75" customHeight="1">
      <c r="A885" s="5" t="n"/>
      <c r="B885" s="2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8.75" customHeight="1">
      <c r="A886" s="5" t="n"/>
      <c r="B886" s="2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8.75" customHeight="1">
      <c r="A887" s="5" t="n"/>
      <c r="B887" s="2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8.75" customHeight="1">
      <c r="A888" s="5" t="n"/>
      <c r="B888" s="2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8.75" customHeight="1">
      <c r="A889" s="5" t="n"/>
      <c r="B889" s="2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8.75" customHeight="1">
      <c r="A890" s="5" t="n"/>
      <c r="B890" s="2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8.75" customHeight="1">
      <c r="A891" s="5" t="n"/>
      <c r="B891" s="2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8.75" customHeight="1">
      <c r="A892" s="5" t="n"/>
      <c r="B892" s="2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8.75" customHeight="1">
      <c r="A893" s="5" t="n"/>
      <c r="B893" s="2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8.75" customHeight="1">
      <c r="A894" s="5" t="n"/>
      <c r="B894" s="2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8.75" customHeight="1">
      <c r="A895" s="5" t="n"/>
      <c r="B895" s="2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8.75" customHeight="1">
      <c r="A896" s="5" t="n"/>
      <c r="B896" s="2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8.75" customHeight="1">
      <c r="A897" s="5" t="n"/>
      <c r="B897" s="2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8.75" customHeight="1">
      <c r="A898" s="5" t="n"/>
      <c r="B898" s="2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8.75" customHeight="1">
      <c r="A899" s="5" t="n"/>
      <c r="B899" s="2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8.75" customHeight="1">
      <c r="A900" s="5" t="n"/>
      <c r="B900" s="2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8.75" customHeight="1">
      <c r="A901" s="5" t="n"/>
      <c r="B901" s="2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8.75" customHeight="1">
      <c r="A902" s="5" t="n"/>
      <c r="B902" s="2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8.75" customHeight="1">
      <c r="A903" s="5" t="n"/>
      <c r="B903" s="2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8.75" customHeight="1">
      <c r="A904" s="5" t="n"/>
      <c r="B904" s="2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8.75" customHeight="1">
      <c r="A905" s="5" t="n"/>
      <c r="B905" s="2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8.75" customHeight="1">
      <c r="A906" s="5" t="n"/>
      <c r="B906" s="2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8.75" customHeight="1">
      <c r="A907" s="5" t="n"/>
      <c r="B907" s="2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8.75" customHeight="1">
      <c r="A908" s="5" t="n"/>
      <c r="B908" s="2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8.75" customHeight="1">
      <c r="A909" s="5" t="n"/>
      <c r="B909" s="2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8.75" customHeight="1">
      <c r="A910" s="5" t="n"/>
      <c r="B910" s="2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8.75" customHeight="1">
      <c r="A911" s="5" t="n"/>
      <c r="B911" s="2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8.75" customHeight="1">
      <c r="A912" s="5" t="n"/>
      <c r="B912" s="2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8.75" customHeight="1">
      <c r="A913" s="5" t="n"/>
      <c r="B913" s="2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8.75" customHeight="1">
      <c r="A914" s="5" t="n"/>
      <c r="B914" s="2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8.75" customHeight="1">
      <c r="A915" s="5" t="n"/>
      <c r="B915" s="2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8.75" customHeight="1">
      <c r="A916" s="5" t="n"/>
      <c r="B916" s="2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8.75" customHeight="1">
      <c r="A917" s="5" t="n"/>
      <c r="B917" s="2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8.75" customHeight="1">
      <c r="A918" s="5" t="n"/>
      <c r="B918" s="2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8.75" customHeight="1">
      <c r="A919" s="5" t="n"/>
      <c r="B919" s="2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8.75" customHeight="1">
      <c r="A920" s="5" t="n"/>
      <c r="B920" s="2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8.75" customHeight="1">
      <c r="A921" s="5" t="n"/>
      <c r="B921" s="2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8.75" customHeight="1">
      <c r="A922" s="5" t="n"/>
      <c r="B922" s="2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8.75" customHeight="1">
      <c r="A923" s="5" t="n"/>
      <c r="B923" s="2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8.75" customHeight="1">
      <c r="A924" s="5" t="n"/>
      <c r="B924" s="2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8.75" customHeight="1">
      <c r="A925" s="5" t="n"/>
      <c r="B925" s="2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8.75" customHeight="1">
      <c r="A926" s="5" t="n"/>
      <c r="B926" s="2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8.75" customHeight="1">
      <c r="A927" s="5" t="n"/>
      <c r="B927" s="2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8.75" customHeight="1">
      <c r="A928" s="5" t="n"/>
      <c r="B928" s="2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8.75" customHeight="1">
      <c r="A929" s="5" t="n"/>
      <c r="B929" s="2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8.75" customHeight="1">
      <c r="A930" s="5" t="n"/>
      <c r="B930" s="2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8.75" customHeight="1">
      <c r="A931" s="5" t="n"/>
      <c r="B931" s="2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8.75" customHeight="1">
      <c r="A932" s="5" t="n"/>
      <c r="B932" s="2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8.75" customHeight="1">
      <c r="A933" s="5" t="n"/>
      <c r="B933" s="2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8.75" customHeight="1">
      <c r="A934" s="5" t="n"/>
      <c r="B934" s="2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8.75" customHeight="1">
      <c r="A935" s="5" t="n"/>
      <c r="B935" s="2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8.75" customHeight="1">
      <c r="A936" s="5" t="n"/>
      <c r="B936" s="2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8.75" customHeight="1">
      <c r="A937" s="5" t="n"/>
      <c r="B937" s="2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8.75" customHeight="1">
      <c r="A938" s="5" t="n"/>
      <c r="B938" s="2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8.75" customHeight="1">
      <c r="A939" s="5" t="n"/>
      <c r="B939" s="2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8.75" customHeight="1">
      <c r="A940" s="5" t="n"/>
      <c r="B940" s="2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8.75" customHeight="1">
      <c r="A941" s="5" t="n"/>
      <c r="B941" s="2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8.75" customHeight="1">
      <c r="A942" s="5" t="n"/>
      <c r="B942" s="2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8.75" customHeight="1">
      <c r="A943" s="5" t="n"/>
      <c r="B943" s="2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8.75" customHeight="1">
      <c r="A944" s="5" t="n"/>
      <c r="B944" s="2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8.75" customHeight="1">
      <c r="A945" s="5" t="n"/>
      <c r="B945" s="2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8.75" customHeight="1">
      <c r="A946" s="5" t="n"/>
      <c r="B946" s="2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8.75" customHeight="1">
      <c r="A947" s="5" t="n"/>
      <c r="B947" s="2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8.75" customHeight="1">
      <c r="A948" s="5" t="n"/>
      <c r="B948" s="2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8.75" customHeight="1">
      <c r="A949" s="5" t="n"/>
      <c r="B949" s="2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8.75" customHeight="1">
      <c r="A950" s="5" t="n"/>
      <c r="B950" s="2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8.75" customHeight="1">
      <c r="A951" s="5" t="n"/>
      <c r="B951" s="2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8.75" customHeight="1">
      <c r="A952" s="5" t="n"/>
      <c r="B952" s="2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8.75" customHeight="1">
      <c r="A953" s="5" t="n"/>
      <c r="B953" s="2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8.75" customHeight="1">
      <c r="A954" s="5" t="n"/>
      <c r="B954" s="2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8.75" customHeight="1">
      <c r="A955" s="5" t="n"/>
      <c r="B955" s="2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8.75" customHeight="1">
      <c r="A956" s="5" t="n"/>
      <c r="B956" s="2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8.75" customHeight="1">
      <c r="A957" s="5" t="n"/>
      <c r="B957" s="2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8.75" customHeight="1">
      <c r="A958" s="5" t="n"/>
      <c r="B958" s="2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8.75" customHeight="1">
      <c r="A959" s="5" t="n"/>
      <c r="B959" s="2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8.75" customHeight="1">
      <c r="A960" s="5" t="n"/>
      <c r="B960" s="2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8.75" customHeight="1">
      <c r="A961" s="5" t="n"/>
      <c r="B961" s="2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8.75" customHeight="1">
      <c r="A962" s="5" t="n"/>
      <c r="B962" s="2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8.75" customHeight="1">
      <c r="A963" s="5" t="n"/>
      <c r="B963" s="2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8.75" customHeight="1">
      <c r="A964" s="5" t="n"/>
      <c r="B964" s="2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8.75" customHeight="1">
      <c r="A965" s="5" t="n"/>
      <c r="B965" s="2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8.75" customHeight="1">
      <c r="A966" s="5" t="n"/>
      <c r="B966" s="2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8.75" customHeight="1">
      <c r="A967" s="5" t="n"/>
      <c r="B967" s="2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8.75" customHeight="1">
      <c r="A968" s="5" t="n"/>
      <c r="B968" s="2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8.75" customHeight="1">
      <c r="A969" s="5" t="n"/>
      <c r="B969" s="2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8.75" customHeight="1">
      <c r="A970" s="5" t="n"/>
      <c r="B970" s="2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8.75" customHeight="1">
      <c r="A971" s="5" t="n"/>
      <c r="B971" s="2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8.75" customHeight="1">
      <c r="A972" s="5" t="n"/>
      <c r="B972" s="2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8.75" customHeight="1">
      <c r="A973" s="5" t="n"/>
      <c r="B973" s="2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8.75" customHeight="1">
      <c r="A974" s="5" t="n"/>
      <c r="B974" s="2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8.75" customHeight="1">
      <c r="A975" s="5" t="n"/>
      <c r="B975" s="2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8.75" customHeight="1">
      <c r="A976" s="5" t="n"/>
      <c r="B976" s="2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8.75" customHeight="1">
      <c r="A977" s="5" t="n"/>
      <c r="B977" s="2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8.75" customHeight="1">
      <c r="A978" s="5" t="n"/>
      <c r="B978" s="2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8.75" customHeight="1">
      <c r="A979" s="5" t="n"/>
      <c r="B979" s="2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8.75" customHeight="1">
      <c r="A980" s="5" t="n"/>
      <c r="B980" s="2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8.75" customHeight="1">
      <c r="A981" s="5" t="n"/>
      <c r="B981" s="2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8.75" customHeight="1">
      <c r="A982" s="5" t="n"/>
      <c r="B982" s="2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8.75" customHeight="1">
      <c r="A983" s="5" t="n"/>
      <c r="B983" s="2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8.75" customHeight="1">
      <c r="A984" s="5" t="n"/>
      <c r="B984" s="2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8.75" customHeight="1">
      <c r="A985" s="5" t="n"/>
      <c r="B985" s="2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8.75" customHeight="1">
      <c r="A986" s="5" t="n"/>
      <c r="B986" s="2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8.75" customHeight="1">
      <c r="A987" s="5" t="n"/>
      <c r="B987" s="2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8.75" customHeight="1">
      <c r="A988" s="5" t="n"/>
      <c r="B988" s="2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8.75" customHeight="1">
      <c r="A989" s="5" t="n"/>
      <c r="B989" s="2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8.75" customHeight="1">
      <c r="A990" s="5" t="n"/>
      <c r="B990" s="2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8.75" customHeight="1">
      <c r="A991" s="5" t="n"/>
      <c r="B991" s="2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8.75" customHeight="1">
      <c r="A992" s="5" t="n"/>
      <c r="B992" s="2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8.75" customHeight="1">
      <c r="A993" s="5" t="n"/>
      <c r="B993" s="2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8.75" customHeight="1">
      <c r="A994" s="5" t="n"/>
      <c r="B994" s="2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8.75" customHeight="1">
      <c r="A995" s="5" t="n"/>
      <c r="B995" s="2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8.75" customHeight="1">
      <c r="A996" s="5" t="n"/>
      <c r="B996" s="2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8.75" customHeight="1">
      <c r="A997" s="5" t="n"/>
      <c r="B997" s="2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8.75" customHeight="1">
      <c r="A998" s="5" t="n"/>
      <c r="B998" s="2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8.75" customHeight="1">
      <c r="A999" s="5" t="n"/>
      <c r="B999" s="2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8.75" customHeight="1">
      <c r="A1000" s="5" t="n"/>
      <c r="B1000" s="2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4">
    <mergeCell ref="A13:B13"/>
    <mergeCell ref="A14:B14"/>
    <mergeCell ref="A15:B15"/>
    <mergeCell ref="K21:L21"/>
  </mergeCells>
  <conditionalFormatting sqref="C15:Z15">
    <cfRule type="cellIs" priority="1" operator="greaterThanOrEqual" dxfId="0">
      <formula>25</formula>
    </cfRule>
  </conditionalFormatting>
  <dataValidations count="9">
    <dataValidation sqref="B9" showDropDown="0" showInputMessage="0" showErrorMessage="1" allowBlank="1" type="list">
      <formula1>衣服名冊</formula1>
    </dataValidation>
    <dataValidation sqref="B11" showDropDown="0" showInputMessage="0" showErrorMessage="1" allowBlank="1" type="list">
      <formula1>鞋子名冊</formula1>
    </dataValidation>
    <dataValidation sqref="B10" showDropDown="0" showInputMessage="0" showErrorMessage="1" allowBlank="1" type="list">
      <formula1>手套名冊</formula1>
    </dataValidation>
    <dataValidation sqref="B6" showDropDown="0" showInputMessage="0" showErrorMessage="1" allowBlank="1" type="list">
      <formula1>主武名冊</formula1>
    </dataValidation>
    <dataValidation sqref="B2:B3" showDropDown="0" showInputMessage="0" showErrorMessage="1" allowBlank="1" type="list">
      <formula1>飾品名冊</formula1>
    </dataValidation>
    <dataValidation sqref="B4:B5" showDropDown="0" showInputMessage="0" showErrorMessage="1" allowBlank="1" type="list">
      <formula1>寶物名冊</formula1>
    </dataValidation>
    <dataValidation sqref="B7" showDropDown="0" showInputMessage="0" showErrorMessage="1" allowBlank="1" type="list">
      <formula1>副武名冊</formula1>
    </dataValidation>
    <dataValidation sqref="B8" showDropDown="0" showInputMessage="0" showErrorMessage="1" allowBlank="1" type="list">
      <formula1>頭盔名冊</formula1>
    </dataValidation>
    <dataValidation sqref="B12" showDropDown="0" showInputMessage="0" showErrorMessage="1" allowBlank="1" type="list">
      <formula1>職業名冊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4140625" defaultRowHeight="15" customHeight="1"/>
  <cols>
    <col width="12.6640625" customWidth="1" min="1" max="1"/>
    <col width="27.33203125" customWidth="1" min="2" max="2"/>
    <col width="13.109375" customWidth="1" min="3" max="26"/>
  </cols>
  <sheetData>
    <row r="1" ht="18.75" customHeight="1">
      <c r="A1" s="1" t="inlineStr">
        <is>
          <t>位置</t>
        </is>
      </c>
      <c r="B1" s="2" t="inlineStr">
        <is>
          <t>裝備名稱</t>
        </is>
      </c>
      <c r="C1" s="3" t="inlineStr">
        <is>
          <t>炮術</t>
        </is>
      </c>
      <c r="D1" s="3" t="inlineStr">
        <is>
          <t>水平射擊</t>
        </is>
      </c>
      <c r="E1" s="3" t="inlineStr">
        <is>
          <t>速射</t>
        </is>
      </c>
      <c r="F1" s="3" t="inlineStr">
        <is>
          <t>貫穿</t>
        </is>
      </c>
      <c r="G1" s="3" t="inlineStr">
        <is>
          <t>彈道學</t>
        </is>
      </c>
      <c r="H1" s="3" t="inlineStr">
        <is>
          <t>水雷</t>
        </is>
      </c>
      <c r="I1" s="3" t="inlineStr">
        <is>
          <t>齊射</t>
        </is>
      </c>
      <c r="J1" s="3" t="inlineStr">
        <is>
          <t>修理</t>
        </is>
      </c>
      <c r="K1" s="3" t="inlineStr">
        <is>
          <t>掠奪</t>
        </is>
      </c>
      <c r="L1" s="3" t="inlineStr">
        <is>
          <t>迴避</t>
        </is>
      </c>
      <c r="M1" s="3" t="inlineStr">
        <is>
          <t>應急</t>
        </is>
      </c>
      <c r="N1" s="3" t="inlineStr">
        <is>
          <t>手術</t>
        </is>
      </c>
      <c r="O1" s="3" t="inlineStr">
        <is>
          <t>划船</t>
        </is>
      </c>
      <c r="P1" s="3" t="inlineStr">
        <is>
          <t>劍術</t>
        </is>
      </c>
      <c r="Q1" s="3" t="inlineStr">
        <is>
          <t>突擊</t>
        </is>
      </c>
      <c r="R1" s="3" t="inlineStr">
        <is>
          <t>戰術</t>
        </is>
      </c>
      <c r="S1" s="3" t="inlineStr">
        <is>
          <t>射擊</t>
        </is>
      </c>
      <c r="T1" s="3" t="inlineStr">
        <is>
          <t>防禦</t>
        </is>
      </c>
      <c r="U1" s="3" t="inlineStr">
        <is>
          <t>識破</t>
        </is>
      </c>
      <c r="V1" s="3" t="inlineStr">
        <is>
          <t>猛擊</t>
        </is>
      </c>
      <c r="W1" s="4" t="inlineStr">
        <is>
          <t>迅捷</t>
        </is>
      </c>
      <c r="X1" s="4" t="inlineStr">
        <is>
          <t>接舷</t>
        </is>
      </c>
      <c r="Y1" s="4" t="inlineStr">
        <is>
          <t>操舵</t>
        </is>
      </c>
      <c r="Z1" s="4" t="inlineStr">
        <is>
          <t>搜尋</t>
        </is>
      </c>
    </row>
    <row r="2" ht="18.75" customHeight="1">
      <c r="A2" s="5" t="inlineStr">
        <is>
          <t>飾品</t>
        </is>
      </c>
      <c r="B2" s="27" t="inlineStr">
        <is>
          <t>丁卡族戒指</t>
        </is>
      </c>
      <c r="C2" s="42">
        <f t="array" ref="C2">XLOOKUP($B2, '資料源(請謹慎編輯)'!$B:$B, '資料源(請謹慎編輯)'!C:C, 0)</f>
        <v/>
      </c>
      <c r="D2" s="43">
        <f t="array" ref="D2">XLOOKUP($B2, '資料源(請謹慎編輯)'!$B:$B, '資料源(請謹慎編輯)'!D:D, 0)</f>
        <v/>
      </c>
      <c r="E2" s="42">
        <f t="array" ref="E2">XLOOKUP($B2, '資料源(請謹慎編輯)'!$B:$B, '資料源(請謹慎編輯)'!E:E, 0)</f>
        <v/>
      </c>
      <c r="F2" s="43">
        <f t="array" ref="F2">XLOOKUP($B2, '資料源(請謹慎編輯)'!$B:$B, '資料源(請謹慎編輯)'!F:F, 0)</f>
        <v/>
      </c>
      <c r="G2" s="42">
        <f t="array" ref="G2">XLOOKUP($B2, '資料源(請謹慎編輯)'!$B:$B, '資料源(請謹慎編輯)'!G:G, 0)</f>
        <v/>
      </c>
      <c r="H2" s="43">
        <f t="array" ref="H2">XLOOKUP($B2, '資料源(請謹慎編輯)'!$B:$B, '資料源(請謹慎編輯)'!H:H, 0)</f>
        <v/>
      </c>
      <c r="I2" s="42">
        <f t="array" ref="I2">XLOOKUP($B2, '資料源(請謹慎編輯)'!$B:$B, '資料源(請謹慎編輯)'!I:I, 0)</f>
        <v/>
      </c>
      <c r="J2" s="43">
        <f t="array" ref="J2">XLOOKUP($B2, '資料源(請謹慎編輯)'!$B:$B, '資料源(請謹慎編輯)'!J:J, 0)</f>
        <v/>
      </c>
      <c r="K2" s="42">
        <f t="array" ref="K2">XLOOKUP($B2, '資料源(請謹慎編輯)'!$B:$B, '資料源(請謹慎編輯)'!K:K, 0)</f>
        <v/>
      </c>
      <c r="L2" s="43">
        <f t="array" ref="L2">XLOOKUP($B2, '資料源(請謹慎編輯)'!$B:$B, '資料源(請謹慎編輯)'!L:L, 0)</f>
        <v/>
      </c>
      <c r="M2" s="44">
        <f t="array" ref="M2">XLOOKUP($B2, '資料源(請謹慎編輯)'!$B:$B, '資料源(請謹慎編輯)'!M:M, 0)</f>
        <v/>
      </c>
      <c r="N2" s="45">
        <f t="array" ref="N2">XLOOKUP($B2, '資料源(請謹慎編輯)'!$B:$B, '資料源(請謹慎編輯)'!N:N, 0)</f>
        <v/>
      </c>
      <c r="O2" s="44">
        <f t="array" ref="O2">XLOOKUP($B2, '資料源(請謹慎編輯)'!$B:$B, '資料源(請謹慎編輯)'!O:O, 0)</f>
        <v/>
      </c>
      <c r="P2" s="45">
        <f t="array" ref="P2">XLOOKUP($B2, '資料源(請謹慎編輯)'!$B:$B, '資料源(請謹慎編輯)'!P:P, 0)</f>
        <v/>
      </c>
      <c r="Q2" s="44">
        <f t="array" ref="Q2">XLOOKUP($B2, '資料源(請謹慎編輯)'!$B:$B, '資料源(請謹慎編輯)'!Q:Q, 0)</f>
        <v/>
      </c>
      <c r="R2" s="45">
        <f t="array" ref="R2">XLOOKUP($B2, '資料源(請謹慎編輯)'!$B:$B, '資料源(請謹慎編輯)'!R:R, 0)</f>
        <v/>
      </c>
      <c r="S2" s="44">
        <f t="array" ref="S2">XLOOKUP($B2, '資料源(請謹慎編輯)'!$B:$B, '資料源(請謹慎編輯)'!S:S, 0)</f>
        <v/>
      </c>
      <c r="T2" s="45">
        <f t="array" ref="T2">XLOOKUP($B2, '資料源(請謹慎編輯)'!$B:$B, '資料源(請謹慎編輯)'!T:T, 0)</f>
        <v/>
      </c>
      <c r="U2" s="44">
        <f t="array" ref="U2">XLOOKUP($B2, '資料源(請謹慎編輯)'!$B:$B, '資料源(請謹慎編輯)'!U:U, 0)</f>
        <v/>
      </c>
      <c r="V2" s="45">
        <f t="array" ref="V2">XLOOKUP($B2, '資料源(請謹慎編輯)'!$B:$B, '資料源(請謹慎編輯)'!V:V, 0)</f>
        <v/>
      </c>
      <c r="W2" s="44">
        <f t="array" ref="W2">XLOOKUP($B2, '資料源(請謹慎編輯)'!$B:$B, '資料源(請謹慎編輯)'!W:W, 0)</f>
        <v/>
      </c>
      <c r="X2" s="45">
        <f t="array" ref="X2">XLOOKUP($B2, '資料源(請謹慎編輯)'!$B:$B, '資料源(請謹慎編輯)'!X:X, 0)</f>
        <v/>
      </c>
      <c r="Y2" s="44">
        <f t="array" ref="Y2">XLOOKUP($B2, '資料源(請謹慎編輯)'!$B:$B, '資料源(請謹慎編輯)'!Y:Y, 0)</f>
        <v/>
      </c>
      <c r="Z2" s="46">
        <f t="array" ref="Z2">XLOOKUP($B2, '資料源(請謹慎編輯)'!$B:$B, '資料源(請謹慎編輯)'!Z:Z, 0)</f>
        <v/>
      </c>
    </row>
    <row r="3" ht="18.75" customHeight="1">
      <c r="A3" s="5" t="inlineStr">
        <is>
          <t>飾品</t>
        </is>
      </c>
      <c r="B3" s="28" t="inlineStr">
        <is>
          <t>丁卡族戒指</t>
        </is>
      </c>
      <c r="C3" s="47">
        <f t="array" ref="C3">XLOOKUP($B3, '資料源(請謹慎編輯)'!$B:$B, '資料源(請謹慎編輯)'!C:C, 0)</f>
        <v/>
      </c>
      <c r="D3" s="48">
        <f t="array" ref="D3">XLOOKUP($B3, '資料源(請謹慎編輯)'!$B:$B, '資料源(請謹慎編輯)'!D:D, 0)</f>
        <v/>
      </c>
      <c r="E3" s="47">
        <f t="array" ref="E3">XLOOKUP($B3, '資料源(請謹慎編輯)'!$B:$B, '資料源(請謹慎編輯)'!E:E, 0)</f>
        <v/>
      </c>
      <c r="F3" s="48">
        <f t="array" ref="F3">XLOOKUP($B3, '資料源(請謹慎編輯)'!$B:$B, '資料源(請謹慎編輯)'!F:F, 0)</f>
        <v/>
      </c>
      <c r="G3" s="47">
        <f t="array" ref="G3">XLOOKUP($B3, '資料源(請謹慎編輯)'!$B:$B, '資料源(請謹慎編輯)'!G:G, 0)</f>
        <v/>
      </c>
      <c r="H3" s="48">
        <f t="array" ref="H3">XLOOKUP($B3, '資料源(請謹慎編輯)'!$B:$B, '資料源(請謹慎編輯)'!H:H, 0)</f>
        <v/>
      </c>
      <c r="I3" s="47">
        <f t="array" ref="I3">XLOOKUP($B3, '資料源(請謹慎編輯)'!$B:$B, '資料源(請謹慎編輯)'!I:I, 0)</f>
        <v/>
      </c>
      <c r="J3" s="48">
        <f t="array" ref="J3">XLOOKUP($B3, '資料源(請謹慎編輯)'!$B:$B, '資料源(請謹慎編輯)'!J:J, 0)</f>
        <v/>
      </c>
      <c r="K3" s="47">
        <f t="array" ref="K3">XLOOKUP($B3, '資料源(請謹慎編輯)'!$B:$B, '資料源(請謹慎編輯)'!K:K, 0)</f>
        <v/>
      </c>
      <c r="L3" s="48">
        <f t="array" ref="L3">XLOOKUP($B3, '資料源(請謹慎編輯)'!$B:$B, '資料源(請謹慎編輯)'!L:L, 0)</f>
        <v/>
      </c>
      <c r="M3" s="47">
        <f t="array" ref="M3">XLOOKUP($B3, '資料源(請謹慎編輯)'!$B:$B, '資料源(請謹慎編輯)'!M:M, 0)</f>
        <v/>
      </c>
      <c r="N3" s="48">
        <f t="array" ref="N3">XLOOKUP($B3, '資料源(請謹慎編輯)'!$B:$B, '資料源(請謹慎編輯)'!N:N, 0)</f>
        <v/>
      </c>
      <c r="O3" s="49">
        <f t="array" ref="O3">XLOOKUP($B3, '資料源(請謹慎編輯)'!$B:$B, '資料源(請謹慎編輯)'!O:O, 0)</f>
        <v/>
      </c>
      <c r="P3" s="45">
        <f t="array" ref="P3">XLOOKUP($B3, '資料源(請謹慎編輯)'!$B:$B, '資料源(請謹慎編輯)'!P:P, 0)</f>
        <v/>
      </c>
      <c r="Q3" s="44">
        <f t="array" ref="Q3">XLOOKUP($B3, '資料源(請謹慎編輯)'!$B:$B, '資料源(請謹慎編輯)'!Q:Q, 0)</f>
        <v/>
      </c>
      <c r="R3" s="45">
        <f t="array" ref="R3">XLOOKUP($B3, '資料源(請謹慎編輯)'!$B:$B, '資料源(請謹慎編輯)'!R:R, 0)</f>
        <v/>
      </c>
      <c r="S3" s="44">
        <f t="array" ref="S3">XLOOKUP($B3, '資料源(請謹慎編輯)'!$B:$B, '資料源(請謹慎編輯)'!S:S, 0)</f>
        <v/>
      </c>
      <c r="T3" s="45">
        <f t="array" ref="T3">XLOOKUP($B3, '資料源(請謹慎編輯)'!$B:$B, '資料源(請謹慎編輯)'!T:T, 0)</f>
        <v/>
      </c>
      <c r="U3" s="44">
        <f t="array" ref="U3">XLOOKUP($B3, '資料源(請謹慎編輯)'!$B:$B, '資料源(請謹慎編輯)'!U:U, 0)</f>
        <v/>
      </c>
      <c r="V3" s="45">
        <f t="array" ref="V3">XLOOKUP($B3, '資料源(請謹慎編輯)'!$B:$B, '資料源(請謹慎編輯)'!V:V, 0)</f>
        <v/>
      </c>
      <c r="W3" s="44">
        <f t="array" ref="W3">XLOOKUP($B3, '資料源(請謹慎編輯)'!$B:$B, '資料源(請謹慎編輯)'!W:W, 0)</f>
        <v/>
      </c>
      <c r="X3" s="45">
        <f t="array" ref="X3">XLOOKUP($B3, '資料源(請謹慎編輯)'!$B:$B, '資料源(請謹慎編輯)'!X:X, 0)</f>
        <v/>
      </c>
      <c r="Y3" s="44">
        <f t="array" ref="Y3">XLOOKUP($B3, '資料源(請謹慎編輯)'!$B:$B, '資料源(請謹慎編輯)'!Y:Y, 0)</f>
        <v/>
      </c>
      <c r="Z3" s="46">
        <f t="array" ref="Z3">XLOOKUP($B3, '資料源(請謹慎編輯)'!$B:$B, '資料源(請謹慎編輯)'!Z:Z, 0)</f>
        <v/>
      </c>
    </row>
    <row r="4" ht="18.75" customHeight="1">
      <c r="A4" s="5" t="inlineStr">
        <is>
          <t>寶物</t>
        </is>
      </c>
      <c r="B4" s="28" t="inlineStr">
        <is>
          <t>軍神的護身符</t>
        </is>
      </c>
      <c r="C4" s="47">
        <f t="array" ref="C4">XLOOKUP($B4, '資料源(請謹慎編輯)'!$B:$B, '資料源(請謹慎編輯)'!C:C, 0)</f>
        <v/>
      </c>
      <c r="D4" s="48">
        <f t="array" ref="D4">XLOOKUP($B4, '資料源(請謹慎編輯)'!$B:$B, '資料源(請謹慎編輯)'!D:D, 0)</f>
        <v/>
      </c>
      <c r="E4" s="47">
        <f t="array" ref="E4">XLOOKUP($B4, '資料源(請謹慎編輯)'!$B:$B, '資料源(請謹慎編輯)'!E:E, 0)</f>
        <v/>
      </c>
      <c r="F4" s="48">
        <f t="array" ref="F4">XLOOKUP($B4, '資料源(請謹慎編輯)'!$B:$B, '資料源(請謹慎編輯)'!F:F, 0)</f>
        <v/>
      </c>
      <c r="G4" s="47">
        <f t="array" ref="G4">XLOOKUP($B4, '資料源(請謹慎編輯)'!$B:$B, '資料源(請謹慎編輯)'!G:G, 0)</f>
        <v/>
      </c>
      <c r="H4" s="48">
        <f t="array" ref="H4">XLOOKUP($B4, '資料源(請謹慎編輯)'!$B:$B, '資料源(請謹慎編輯)'!H:H, 0)</f>
        <v/>
      </c>
      <c r="I4" s="47">
        <f t="array" ref="I4">XLOOKUP($B4, '資料源(請謹慎編輯)'!$B:$B, '資料源(請謹慎編輯)'!I:I, 0)</f>
        <v/>
      </c>
      <c r="J4" s="48">
        <f t="array" ref="J4">XLOOKUP($B4, '資料源(請謹慎編輯)'!$B:$B, '資料源(請謹慎編輯)'!J:J, 0)</f>
        <v/>
      </c>
      <c r="K4" s="47">
        <f t="array" ref="K4">XLOOKUP($B4, '資料源(請謹慎編輯)'!$B:$B, '資料源(請謹慎編輯)'!K:K, 0)</f>
        <v/>
      </c>
      <c r="L4" s="48">
        <f t="array" ref="L4">XLOOKUP($B4, '資料源(請謹慎編輯)'!$B:$B, '資料源(請謹慎編輯)'!L:L, 0)</f>
        <v/>
      </c>
      <c r="M4" s="47">
        <f t="array" ref="M4">XLOOKUP($B4, '資料源(請謹慎編輯)'!$B:$B, '資料源(請謹慎編輯)'!M:M, 0)</f>
        <v/>
      </c>
      <c r="N4" s="48">
        <f t="array" ref="N4">XLOOKUP($B4, '資料源(請謹慎編輯)'!$B:$B, '資料源(請謹慎編輯)'!N:N, 0)</f>
        <v/>
      </c>
      <c r="O4" s="44">
        <f t="array" ref="O4">XLOOKUP($B4, '資料源(請謹慎編輯)'!$B:$B, '資料源(請謹慎編輯)'!O:O, 0)</f>
        <v/>
      </c>
      <c r="P4" s="45">
        <f t="array" ref="P4">XLOOKUP($B4, '資料源(請謹慎編輯)'!$B:$B, '資料源(請謹慎編輯)'!P:P, 0)</f>
        <v/>
      </c>
      <c r="Q4" s="44">
        <f t="array" ref="Q4">XLOOKUP($B4, '資料源(請謹慎編輯)'!$B:$B, '資料源(請謹慎編輯)'!Q:Q, 0)</f>
        <v/>
      </c>
      <c r="R4" s="45">
        <f t="array" ref="R4">XLOOKUP($B4, '資料源(請謹慎編輯)'!$B:$B, '資料源(請謹慎編輯)'!R:R, 0)</f>
        <v/>
      </c>
      <c r="S4" s="44">
        <f t="array" ref="S4">XLOOKUP($B4, '資料源(請謹慎編輯)'!$B:$B, '資料源(請謹慎編輯)'!S:S, 0)</f>
        <v/>
      </c>
      <c r="T4" s="45">
        <f t="array" ref="T4">XLOOKUP($B4, '資料源(請謹慎編輯)'!$B:$B, '資料源(請謹慎編輯)'!T:T, 0)</f>
        <v/>
      </c>
      <c r="U4" s="44">
        <f t="array" ref="U4">XLOOKUP($B4, '資料源(請謹慎編輯)'!$B:$B, '資料源(請謹慎編輯)'!U:U, 0)</f>
        <v/>
      </c>
      <c r="V4" s="45">
        <f t="array" ref="V4">XLOOKUP($B4, '資料源(請謹慎編輯)'!$B:$B, '資料源(請謹慎編輯)'!V:V, 0)</f>
        <v/>
      </c>
      <c r="W4" s="44">
        <f t="array" ref="W4">XLOOKUP($B4, '資料源(請謹慎編輯)'!$B:$B, '資料源(請謹慎編輯)'!W:W, 0)</f>
        <v/>
      </c>
      <c r="X4" s="45">
        <f t="array" ref="X4">XLOOKUP($B4, '資料源(請謹慎編輯)'!$B:$B, '資料源(請謹慎編輯)'!X:X, 0)</f>
        <v/>
      </c>
      <c r="Y4" s="44">
        <f t="array" ref="Y4">XLOOKUP($B4, '資料源(請謹慎編輯)'!$B:$B, '資料源(請謹慎編輯)'!Y:Y, 0)</f>
        <v/>
      </c>
      <c r="Z4" s="46">
        <f t="array" ref="Z4">XLOOKUP($B4, '資料源(請謹慎編輯)'!$B:$B, '資料源(請謹慎編輯)'!Z:Z, 0)</f>
        <v/>
      </c>
    </row>
    <row r="5" ht="18.75" customHeight="1">
      <c r="A5" s="5" t="inlineStr">
        <is>
          <t>寶物</t>
        </is>
      </c>
      <c r="B5" s="28" t="inlineStr">
        <is>
          <t>軍神的護身符</t>
        </is>
      </c>
      <c r="C5" s="47">
        <f t="array" ref="C5">XLOOKUP($B5, '資料源(請謹慎編輯)'!$B:$B, '資料源(請謹慎編輯)'!C:C, 0)</f>
        <v/>
      </c>
      <c r="D5" s="48">
        <f t="array" ref="D5">XLOOKUP($B5, '資料源(請謹慎編輯)'!$B:$B, '資料源(請謹慎編輯)'!D:D, 0)</f>
        <v/>
      </c>
      <c r="E5" s="47">
        <f t="array" ref="E5">XLOOKUP($B5, '資料源(請謹慎編輯)'!$B:$B, '資料源(請謹慎編輯)'!E:E, 0)</f>
        <v/>
      </c>
      <c r="F5" s="48">
        <f t="array" ref="F5">XLOOKUP($B5, '資料源(請謹慎編輯)'!$B:$B, '資料源(請謹慎編輯)'!F:F, 0)</f>
        <v/>
      </c>
      <c r="G5" s="47">
        <f t="array" ref="G5">XLOOKUP($B5, '資料源(請謹慎編輯)'!$B:$B, '資料源(請謹慎編輯)'!G:G, 0)</f>
        <v/>
      </c>
      <c r="H5" s="48">
        <f t="array" ref="H5">XLOOKUP($B5, '資料源(請謹慎編輯)'!$B:$B, '資料源(請謹慎編輯)'!H:H, 0)</f>
        <v/>
      </c>
      <c r="I5" s="47">
        <f t="array" ref="I5">XLOOKUP($B5, '資料源(請謹慎編輯)'!$B:$B, '資料源(請謹慎編輯)'!I:I, 0)</f>
        <v/>
      </c>
      <c r="J5" s="48">
        <f t="array" ref="J5">XLOOKUP($B5, '資料源(請謹慎編輯)'!$B:$B, '資料源(請謹慎編輯)'!J:J, 0)</f>
        <v/>
      </c>
      <c r="K5" s="47">
        <f t="array" ref="K5">XLOOKUP($B5, '資料源(請謹慎編輯)'!$B:$B, '資料源(請謹慎編輯)'!K:K, 0)</f>
        <v/>
      </c>
      <c r="L5" s="48">
        <f t="array" ref="L5">XLOOKUP($B5, '資料源(請謹慎編輯)'!$B:$B, '資料源(請謹慎編輯)'!L:L, 0)</f>
        <v/>
      </c>
      <c r="M5" s="47">
        <f t="array" ref="M5">XLOOKUP($B5, '資料源(請謹慎編輯)'!$B:$B, '資料源(請謹慎編輯)'!M:M, 0)</f>
        <v/>
      </c>
      <c r="N5" s="50">
        <f t="array" ref="N5">XLOOKUP($B5, '資料源(請謹慎編輯)'!$B:$B, '資料源(請謹慎編輯)'!N:N, 0)</f>
        <v/>
      </c>
      <c r="O5" s="44">
        <f t="array" ref="O5">XLOOKUP($B5, '資料源(請謹慎編輯)'!$B:$B, '資料源(請謹慎編輯)'!O:O, 0)</f>
        <v/>
      </c>
      <c r="P5" s="45">
        <f t="array" ref="P5">XLOOKUP($B5, '資料源(請謹慎編輯)'!$B:$B, '資料源(請謹慎編輯)'!P:P, 0)</f>
        <v/>
      </c>
      <c r="Q5" s="44">
        <f t="array" ref="Q5">XLOOKUP($B5, '資料源(請謹慎編輯)'!$B:$B, '資料源(請謹慎編輯)'!Q:Q, 0)</f>
        <v/>
      </c>
      <c r="R5" s="45">
        <f t="array" ref="R5">XLOOKUP($B5, '資料源(請謹慎編輯)'!$B:$B, '資料源(請謹慎編輯)'!R:R, 0)</f>
        <v/>
      </c>
      <c r="S5" s="44">
        <f t="array" ref="S5">XLOOKUP($B5, '資料源(請謹慎編輯)'!$B:$B, '資料源(請謹慎編輯)'!S:S, 0)</f>
        <v/>
      </c>
      <c r="T5" s="45">
        <f t="array" ref="T5">XLOOKUP($B5, '資料源(請謹慎編輯)'!$B:$B, '資料源(請謹慎編輯)'!T:T, 0)</f>
        <v/>
      </c>
      <c r="U5" s="44">
        <f t="array" ref="U5">XLOOKUP($B5, '資料源(請謹慎編輯)'!$B:$B, '資料源(請謹慎編輯)'!U:U, 0)</f>
        <v/>
      </c>
      <c r="V5" s="45">
        <f t="array" ref="V5">XLOOKUP($B5, '資料源(請謹慎編輯)'!$B:$B, '資料源(請謹慎編輯)'!V:V, 0)</f>
        <v/>
      </c>
      <c r="W5" s="44">
        <f t="array" ref="W5">XLOOKUP($B5, '資料源(請謹慎編輯)'!$B:$B, '資料源(請謹慎編輯)'!W:W, 0)</f>
        <v/>
      </c>
      <c r="X5" s="45">
        <f t="array" ref="X5">XLOOKUP($B5, '資料源(請謹慎編輯)'!$B:$B, '資料源(請謹慎編輯)'!X:X, 0)</f>
        <v/>
      </c>
      <c r="Y5" s="44">
        <f t="array" ref="Y5">XLOOKUP($B5, '資料源(請謹慎編輯)'!$B:$B, '資料源(請謹慎編輯)'!Y:Y, 0)</f>
        <v/>
      </c>
      <c r="Z5" s="46">
        <f t="array" ref="Z5">XLOOKUP($B5, '資料源(請謹慎編輯)'!$B:$B, '資料源(請謹慎編輯)'!Z:Z, 0)</f>
        <v/>
      </c>
    </row>
    <row r="6" ht="18.75" customHeight="1">
      <c r="A6" s="5" t="inlineStr">
        <is>
          <t>主武</t>
        </is>
      </c>
      <c r="B6" s="28" t="inlineStr">
        <is>
          <t>馬木魯克的弓</t>
        </is>
      </c>
      <c r="C6" s="49">
        <f t="array" ref="C6">XLOOKUP($B6, '資料源(請謹慎編輯)'!$B:$B, '資料源(請謹慎編輯)'!C:C, 0)</f>
        <v/>
      </c>
      <c r="D6" s="50">
        <f t="array" ref="D6">XLOOKUP($B6, '資料源(請謹慎編輯)'!$B:$B, '資料源(請謹慎編輯)'!D:D, 0)</f>
        <v/>
      </c>
      <c r="E6" s="49">
        <f t="array" ref="E6">XLOOKUP($B6, '資料源(請謹慎編輯)'!$B:$B, '資料源(請謹慎編輯)'!E:E, 0)</f>
        <v/>
      </c>
      <c r="F6" s="50">
        <f t="array" ref="F6">XLOOKUP($B6, '資料源(請謹慎編輯)'!$B:$B, '資料源(請謹慎編輯)'!F:F, 0)</f>
        <v/>
      </c>
      <c r="G6" s="49">
        <f t="array" ref="G6">XLOOKUP($B6, '資料源(請謹慎編輯)'!$B:$B, '資料源(請謹慎編輯)'!G:G, 0)</f>
        <v/>
      </c>
      <c r="H6" s="50">
        <f t="array" ref="H6">XLOOKUP($B6, '資料源(請謹慎編輯)'!$B:$B, '資料源(請謹慎編輯)'!H:H, 0)</f>
        <v/>
      </c>
      <c r="I6" s="49">
        <f t="array" ref="I6">XLOOKUP($B6, '資料源(請謹慎編輯)'!$B:$B, '資料源(請謹慎編輯)'!I:I, 0)</f>
        <v/>
      </c>
      <c r="J6" s="50">
        <f t="array" ref="J6">XLOOKUP($B6, '資料源(請謹慎編輯)'!$B:$B, '資料源(請謹慎編輯)'!J:J, 0)</f>
        <v/>
      </c>
      <c r="K6" s="49">
        <f t="array" ref="K6">XLOOKUP($B6, '資料源(請謹慎編輯)'!$B:$B, '資料源(請謹慎編輯)'!K:K, 0)</f>
        <v/>
      </c>
      <c r="L6" s="50">
        <f t="array" ref="L6">XLOOKUP($B6, '資料源(請謹慎編輯)'!$B:$B, '資料源(請謹慎編輯)'!L:L, 0)</f>
        <v/>
      </c>
      <c r="M6" s="49">
        <f t="array" ref="M6">XLOOKUP($B6, '資料源(請謹慎編輯)'!$B:$B, '資料源(請謹慎編輯)'!M:M, 0)</f>
        <v/>
      </c>
      <c r="N6" s="50">
        <f t="array" ref="N6">XLOOKUP($B6, '資料源(請謹慎編輯)'!$B:$B, '資料源(請謹慎編輯)'!N:N, 0)</f>
        <v/>
      </c>
      <c r="O6" s="44">
        <f t="array" ref="O6">XLOOKUP($B6, '資料源(請謹慎編輯)'!$B:$B, '資料源(請謹慎編輯)'!O:O, 0)</f>
        <v/>
      </c>
      <c r="P6" s="45">
        <f t="array" ref="P6">XLOOKUP($B6, '資料源(請謹慎編輯)'!$B:$B, '資料源(請謹慎編輯)'!P:P, 0)</f>
        <v/>
      </c>
      <c r="Q6" s="44">
        <f t="array" ref="Q6">XLOOKUP($B6, '資料源(請謹慎編輯)'!$B:$B, '資料源(請謹慎編輯)'!Q:Q, 0)</f>
        <v/>
      </c>
      <c r="R6" s="45">
        <f t="array" ref="R6">XLOOKUP($B6, '資料源(請謹慎編輯)'!$B:$B, '資料源(請謹慎編輯)'!R:R, 0)</f>
        <v/>
      </c>
      <c r="S6" s="44">
        <f t="array" ref="S6">XLOOKUP($B6, '資料源(請謹慎編輯)'!$B:$B, '資料源(請謹慎編輯)'!S:S, 0)</f>
        <v/>
      </c>
      <c r="T6" s="45">
        <f t="array" ref="T6">XLOOKUP($B6, '資料源(請謹慎編輯)'!$B:$B, '資料源(請謹慎編輯)'!T:T, 0)</f>
        <v/>
      </c>
      <c r="U6" s="44">
        <f t="array" ref="U6">XLOOKUP($B6, '資料源(請謹慎編輯)'!$B:$B, '資料源(請謹慎編輯)'!U:U, 0)</f>
        <v/>
      </c>
      <c r="V6" s="45">
        <f t="array" ref="V6">XLOOKUP($B6, '資料源(請謹慎編輯)'!$B:$B, '資料源(請謹慎編輯)'!V:V, 0)</f>
        <v/>
      </c>
      <c r="W6" s="44">
        <f t="array" ref="W6">XLOOKUP($B6, '資料源(請謹慎編輯)'!$B:$B, '資料源(請謹慎編輯)'!W:W, 0)</f>
        <v/>
      </c>
      <c r="X6" s="45">
        <f t="array" ref="X6">XLOOKUP($B6, '資料源(請謹慎編輯)'!$B:$B, '資料源(請謹慎編輯)'!X:X, 0)</f>
        <v/>
      </c>
      <c r="Y6" s="44">
        <f t="array" ref="Y6">XLOOKUP($B6, '資料源(請謹慎編輯)'!$B:$B, '資料源(請謹慎編輯)'!Y:Y, 0)</f>
        <v/>
      </c>
      <c r="Z6" s="46">
        <f t="array" ref="Z6">XLOOKUP($B6, '資料源(請謹慎編輯)'!$B:$B, '資料源(請謹慎編輯)'!Z:Z, 0)</f>
        <v/>
      </c>
    </row>
    <row r="7" ht="18.75" customHeight="1">
      <c r="A7" s="5" t="inlineStr">
        <is>
          <t>副武</t>
        </is>
      </c>
      <c r="B7" s="28" t="inlineStr">
        <is>
          <t>波斯單刃短劍</t>
        </is>
      </c>
      <c r="C7" s="49">
        <f t="array" ref="C7">XLOOKUP($B7, '資料源(請謹慎編輯)'!$B:$B, '資料源(請謹慎編輯)'!C:C, 0)</f>
        <v/>
      </c>
      <c r="D7" s="50">
        <f t="array" ref="D7">XLOOKUP($B7, '資料源(請謹慎編輯)'!$B:$B, '資料源(請謹慎編輯)'!D:D, 0)</f>
        <v/>
      </c>
      <c r="E7" s="49">
        <f t="array" ref="E7">XLOOKUP($B7, '資料源(請謹慎編輯)'!$B:$B, '資料源(請謹慎編輯)'!E:E, 0)</f>
        <v/>
      </c>
      <c r="F7" s="50">
        <f t="array" ref="F7">XLOOKUP($B7, '資料源(請謹慎編輯)'!$B:$B, '資料源(請謹慎編輯)'!F:F, 0)</f>
        <v/>
      </c>
      <c r="G7" s="49">
        <f t="array" ref="G7">XLOOKUP($B7, '資料源(請謹慎編輯)'!$B:$B, '資料源(請謹慎編輯)'!G:G, 0)</f>
        <v/>
      </c>
      <c r="H7" s="50">
        <f t="array" ref="H7">XLOOKUP($B7, '資料源(請謹慎編輯)'!$B:$B, '資料源(請謹慎編輯)'!H:H, 0)</f>
        <v/>
      </c>
      <c r="I7" s="49">
        <f t="array" ref="I7">XLOOKUP($B7, '資料源(請謹慎編輯)'!$B:$B, '資料源(請謹慎編輯)'!I:I, 0)</f>
        <v/>
      </c>
      <c r="J7" s="50">
        <f t="array" ref="J7">XLOOKUP($B7, '資料源(請謹慎編輯)'!$B:$B, '資料源(請謹慎編輯)'!J:J, 0)</f>
        <v/>
      </c>
      <c r="K7" s="49">
        <f t="array" ref="K7">XLOOKUP($B7, '資料源(請謹慎編輯)'!$B:$B, '資料源(請謹慎編輯)'!K:K, 0)</f>
        <v/>
      </c>
      <c r="L7" s="50">
        <f t="array" ref="L7">XLOOKUP($B7, '資料源(請謹慎編輯)'!$B:$B, '資料源(請謹慎編輯)'!L:L, 0)</f>
        <v/>
      </c>
      <c r="M7" s="49">
        <f t="array" ref="M7">XLOOKUP($B7, '資料源(請謹慎編輯)'!$B:$B, '資料源(請謹慎編輯)'!M:M, 0)</f>
        <v/>
      </c>
      <c r="N7" s="50">
        <f t="array" ref="N7">XLOOKUP($B7, '資料源(請謹慎編輯)'!$B:$B, '資料源(請謹慎編輯)'!N:N, 0)</f>
        <v/>
      </c>
      <c r="O7" s="44">
        <f t="array" ref="O7">XLOOKUP($B7, '資料源(請謹慎編輯)'!$B:$B, '資料源(請謹慎編輯)'!O:O, 0)</f>
        <v/>
      </c>
      <c r="P7" s="45">
        <f t="array" ref="P7">XLOOKUP($B7, '資料源(請謹慎編輯)'!$B:$B, '資料源(請謹慎編輯)'!P:P, 0)</f>
        <v/>
      </c>
      <c r="Q7" s="44">
        <f t="array" ref="Q7">XLOOKUP($B7, '資料源(請謹慎編輯)'!$B:$B, '資料源(請謹慎編輯)'!Q:Q, 0)</f>
        <v/>
      </c>
      <c r="R7" s="45">
        <f t="array" ref="R7">XLOOKUP($B7, '資料源(請謹慎編輯)'!$B:$B, '資料源(請謹慎編輯)'!R:R, 0)</f>
        <v/>
      </c>
      <c r="S7" s="44">
        <f t="array" ref="S7">XLOOKUP($B7, '資料源(請謹慎編輯)'!$B:$B, '資料源(請謹慎編輯)'!S:S, 0)</f>
        <v/>
      </c>
      <c r="T7" s="45">
        <f t="array" ref="T7">XLOOKUP($B7, '資料源(請謹慎編輯)'!$B:$B, '資料源(請謹慎編輯)'!T:T, 0)</f>
        <v/>
      </c>
      <c r="U7" s="44">
        <f t="array" ref="U7">XLOOKUP($B7, '資料源(請謹慎編輯)'!$B:$B, '資料源(請謹慎編輯)'!U:U, 0)</f>
        <v/>
      </c>
      <c r="V7" s="45">
        <f t="array" ref="V7">XLOOKUP($B7, '資料源(請謹慎編輯)'!$B:$B, '資料源(請謹慎編輯)'!V:V, 0)</f>
        <v/>
      </c>
      <c r="W7" s="44">
        <f t="array" ref="W7">XLOOKUP($B7, '資料源(請謹慎編輯)'!$B:$B, '資料源(請謹慎編輯)'!W:W, 0)</f>
        <v/>
      </c>
      <c r="X7" s="45">
        <f t="array" ref="X7">XLOOKUP($B7, '資料源(請謹慎編輯)'!$B:$B, '資料源(請謹慎編輯)'!X:X, 0)</f>
        <v/>
      </c>
      <c r="Y7" s="44">
        <f t="array" ref="Y7">XLOOKUP($B7, '資料源(請謹慎編輯)'!$B:$B, '資料源(請謹慎編輯)'!Y:Y, 0)</f>
        <v/>
      </c>
      <c r="Z7" s="46">
        <f t="array" ref="Z7">XLOOKUP($B7, '資料源(請謹慎編輯)'!$B:$B, '資料源(請謹慎編輯)'!Z:Z, 0)</f>
        <v/>
      </c>
    </row>
    <row r="8" ht="18.75" customHeight="1">
      <c r="A8" s="5" t="inlineStr">
        <is>
          <t>頭盔</t>
        </is>
      </c>
      <c r="B8" s="28" t="inlineStr">
        <is>
          <t>阿爾維達的頭盔</t>
        </is>
      </c>
      <c r="C8" s="49">
        <f t="array" ref="C8">XLOOKUP($B8, '資料源(請謹慎編輯)'!$B:$B, '資料源(請謹慎編輯)'!C:C, 0)</f>
        <v/>
      </c>
      <c r="D8" s="50">
        <f t="array" ref="D8">XLOOKUP($B8, '資料源(請謹慎編輯)'!$B:$B, '資料源(請謹慎編輯)'!D:D, 0)</f>
        <v/>
      </c>
      <c r="E8" s="49">
        <f t="array" ref="E8">XLOOKUP($B8, '資料源(請謹慎編輯)'!$B:$B, '資料源(請謹慎編輯)'!E:E, 0)</f>
        <v/>
      </c>
      <c r="F8" s="50">
        <f t="array" ref="F8">XLOOKUP($B8, '資料源(請謹慎編輯)'!$B:$B, '資料源(請謹慎編輯)'!F:F, 0)</f>
        <v/>
      </c>
      <c r="G8" s="49">
        <f t="array" ref="G8">XLOOKUP($B8, '資料源(請謹慎編輯)'!$B:$B, '資料源(請謹慎編輯)'!G:G, 0)</f>
        <v/>
      </c>
      <c r="H8" s="50">
        <f t="array" ref="H8">XLOOKUP($B8, '資料源(請謹慎編輯)'!$B:$B, '資料源(請謹慎編輯)'!H:H, 0)</f>
        <v/>
      </c>
      <c r="I8" s="49">
        <f t="array" ref="I8">XLOOKUP($B8, '資料源(請謹慎編輯)'!$B:$B, '資料源(請謹慎編輯)'!I:I, 0)</f>
        <v/>
      </c>
      <c r="J8" s="50">
        <f t="array" ref="J8">XLOOKUP($B8, '資料源(請謹慎編輯)'!$B:$B, '資料源(請謹慎編輯)'!J:J, 0)</f>
        <v/>
      </c>
      <c r="K8" s="49">
        <f t="array" ref="K8">XLOOKUP($B8, '資料源(請謹慎編輯)'!$B:$B, '資料源(請謹慎編輯)'!K:K, 0)</f>
        <v/>
      </c>
      <c r="L8" s="50">
        <f t="array" ref="L8">XLOOKUP($B8, '資料源(請謹慎編輯)'!$B:$B, '資料源(請謹慎編輯)'!L:L, 0)</f>
        <v/>
      </c>
      <c r="M8" s="49">
        <f t="array" ref="M8">XLOOKUP($B8, '資料源(請謹慎編輯)'!$B:$B, '資料源(請謹慎編輯)'!M:M, 0)</f>
        <v/>
      </c>
      <c r="N8" s="50">
        <f t="array" ref="N8">XLOOKUP($B8, '資料源(請謹慎編輯)'!$B:$B, '資料源(請謹慎編輯)'!N:N, 0)</f>
        <v/>
      </c>
      <c r="O8" s="44">
        <f t="array" ref="O8">XLOOKUP($B8, '資料源(請謹慎編輯)'!$B:$B, '資料源(請謹慎編輯)'!O:O, 0)</f>
        <v/>
      </c>
      <c r="P8" s="45">
        <f t="array" ref="P8">XLOOKUP($B8, '資料源(請謹慎編輯)'!$B:$B, '資料源(請謹慎編輯)'!P:P, 0)</f>
        <v/>
      </c>
      <c r="Q8" s="44">
        <f t="array" ref="Q8">XLOOKUP($B8, '資料源(請謹慎編輯)'!$B:$B, '資料源(請謹慎編輯)'!Q:Q, 0)</f>
        <v/>
      </c>
      <c r="R8" s="45">
        <f t="array" ref="R8">XLOOKUP($B8, '資料源(請謹慎編輯)'!$B:$B, '資料源(請謹慎編輯)'!R:R, 0)</f>
        <v/>
      </c>
      <c r="S8" s="44">
        <f t="array" ref="S8">XLOOKUP($B8, '資料源(請謹慎編輯)'!$B:$B, '資料源(請謹慎編輯)'!S:S, 0)</f>
        <v/>
      </c>
      <c r="T8" s="45">
        <f t="array" ref="T8">XLOOKUP($B8, '資料源(請謹慎編輯)'!$B:$B, '資料源(請謹慎編輯)'!T:T, 0)</f>
        <v/>
      </c>
      <c r="U8" s="44">
        <f t="array" ref="U8">XLOOKUP($B8, '資料源(請謹慎編輯)'!$B:$B, '資料源(請謹慎編輯)'!U:U, 0)</f>
        <v/>
      </c>
      <c r="V8" s="45">
        <f t="array" ref="V8">XLOOKUP($B8, '資料源(請謹慎編輯)'!$B:$B, '資料源(請謹慎編輯)'!V:V, 0)</f>
        <v/>
      </c>
      <c r="W8" s="44">
        <f t="array" ref="W8">XLOOKUP($B8, '資料源(請謹慎編輯)'!$B:$B, '資料源(請謹慎編輯)'!W:W, 0)</f>
        <v/>
      </c>
      <c r="X8" s="45">
        <f t="array" ref="X8">XLOOKUP($B8, '資料源(請謹慎編輯)'!$B:$B, '資料源(請謹慎編輯)'!X:X, 0)</f>
        <v/>
      </c>
      <c r="Y8" s="44">
        <f t="array" ref="Y8">XLOOKUP($B8, '資料源(請謹慎編輯)'!$B:$B, '資料源(請謹慎編輯)'!Y:Y, 0)</f>
        <v/>
      </c>
      <c r="Z8" s="46">
        <f t="array" ref="Z8">XLOOKUP($B8, '資料源(請謹慎編輯)'!$B:$B, '資料源(請謹慎編輯)'!Z:Z, 0)</f>
        <v/>
      </c>
    </row>
    <row r="9" ht="18.75" customHeight="1">
      <c r="A9" s="5" t="inlineStr">
        <is>
          <t>衣服</t>
        </is>
      </c>
      <c r="B9" s="28" t="inlineStr">
        <is>
          <t>海軍上將胸甲</t>
        </is>
      </c>
      <c r="C9" s="42">
        <f t="array" ref="C9">XLOOKUP($B9, '資料源(請謹慎編輯)'!$B:$B, '資料源(請謹慎編輯)'!C:C, 0)</f>
        <v/>
      </c>
      <c r="D9" s="43">
        <f t="array" ref="D9">XLOOKUP($B9, '資料源(請謹慎編輯)'!$B:$B, '資料源(請謹慎編輯)'!D:D, 0)</f>
        <v/>
      </c>
      <c r="E9" s="42">
        <f t="array" ref="E9">XLOOKUP($B9, '資料源(請謹慎編輯)'!$B:$B, '資料源(請謹慎編輯)'!E:E, 0)</f>
        <v/>
      </c>
      <c r="F9" s="43">
        <f t="array" ref="F9">XLOOKUP($B9, '資料源(請謹慎編輯)'!$B:$B, '資料源(請謹慎編輯)'!F:F, 0)</f>
        <v/>
      </c>
      <c r="G9" s="42">
        <f t="array" ref="G9">XLOOKUP($B9, '資料源(請謹慎編輯)'!$B:$B, '資料源(請謹慎編輯)'!G:G, 0)</f>
        <v/>
      </c>
      <c r="H9" s="43">
        <f t="array" ref="H9">XLOOKUP($B9, '資料源(請謹慎編輯)'!$B:$B, '資料源(請謹慎編輯)'!H:H, 0)</f>
        <v/>
      </c>
      <c r="I9" s="42">
        <f t="array" ref="I9">XLOOKUP($B9, '資料源(請謹慎編輯)'!$B:$B, '資料源(請謹慎編輯)'!I:I, 0)</f>
        <v/>
      </c>
      <c r="J9" s="43">
        <f t="array" ref="J9">XLOOKUP($B9, '資料源(請謹慎編輯)'!$B:$B, '資料源(請謹慎編輯)'!J:J, 0)</f>
        <v/>
      </c>
      <c r="K9" s="42">
        <f t="array" ref="K9">XLOOKUP($B9, '資料源(請謹慎編輯)'!$B:$B, '資料源(請謹慎編輯)'!K:K, 0)</f>
        <v/>
      </c>
      <c r="L9" s="43">
        <f t="array" ref="L9">XLOOKUP($B9, '資料源(請謹慎編輯)'!$B:$B, '資料源(請謹慎編輯)'!L:L, 0)</f>
        <v/>
      </c>
      <c r="M9" s="42">
        <f t="array" ref="M9">XLOOKUP($B9, '資料源(請謹慎編輯)'!$B:$B, '資料源(請謹慎編輯)'!M:M, 0)</f>
        <v/>
      </c>
      <c r="N9" s="43">
        <f t="array" ref="N9">XLOOKUP($B9, '資料源(請謹慎編輯)'!$B:$B, '資料源(請謹慎編輯)'!N:N, 0)</f>
        <v/>
      </c>
      <c r="O9" s="44">
        <f t="array" ref="O9">XLOOKUP($B9, '資料源(請謹慎編輯)'!$B:$B, '資料源(請謹慎編輯)'!O:O, 0)</f>
        <v/>
      </c>
      <c r="P9" s="45">
        <f t="array" ref="P9">XLOOKUP($B9, '資料源(請謹慎編輯)'!$B:$B, '資料源(請謹慎編輯)'!P:P, 0)</f>
        <v/>
      </c>
      <c r="Q9" s="44">
        <f t="array" ref="Q9">XLOOKUP($B9, '資料源(請謹慎編輯)'!$B:$B, '資料源(請謹慎編輯)'!Q:Q, 0)</f>
        <v/>
      </c>
      <c r="R9" s="45">
        <f t="array" ref="R9">XLOOKUP($B9, '資料源(請謹慎編輯)'!$B:$B, '資料源(請謹慎編輯)'!R:R, 0)</f>
        <v/>
      </c>
      <c r="S9" s="44">
        <f t="array" ref="S9">XLOOKUP($B9, '資料源(請謹慎編輯)'!$B:$B, '資料源(請謹慎編輯)'!S:S, 0)</f>
        <v/>
      </c>
      <c r="T9" s="45">
        <f t="array" ref="T9">XLOOKUP($B9, '資料源(請謹慎編輯)'!$B:$B, '資料源(請謹慎編輯)'!T:T, 0)</f>
        <v/>
      </c>
      <c r="U9" s="44">
        <f t="array" ref="U9">XLOOKUP($B9, '資料源(請謹慎編輯)'!$B:$B, '資料源(請謹慎編輯)'!U:U, 0)</f>
        <v/>
      </c>
      <c r="V9" s="45">
        <f t="array" ref="V9">XLOOKUP($B9, '資料源(請謹慎編輯)'!$B:$B, '資料源(請謹慎編輯)'!V:V, 0)</f>
        <v/>
      </c>
      <c r="W9" s="44">
        <f t="array" ref="W9">XLOOKUP($B9, '資料源(請謹慎編輯)'!$B:$B, '資料源(請謹慎編輯)'!W:W, 0)</f>
        <v/>
      </c>
      <c r="X9" s="45">
        <f t="array" ref="X9">XLOOKUP($B9, '資料源(請謹慎編輯)'!$B:$B, '資料源(請謹慎編輯)'!X:X, 0)</f>
        <v/>
      </c>
      <c r="Y9" s="44">
        <f t="array" ref="Y9">XLOOKUP($B9, '資料源(請謹慎編輯)'!$B:$B, '資料源(請謹慎編輯)'!Y:Y, 0)</f>
        <v/>
      </c>
      <c r="Z9" s="46">
        <f t="array" ref="Z9">XLOOKUP($B9, '資料源(請謹慎編輯)'!$B:$B, '資料源(請謹慎編輯)'!Z:Z, 0)</f>
        <v/>
      </c>
    </row>
    <row r="10" ht="18.75" customHeight="1">
      <c r="A10" s="5" t="inlineStr">
        <is>
          <t>手套</t>
        </is>
      </c>
      <c r="B10" s="28" t="inlineStr">
        <is>
          <t>司令官手套</t>
        </is>
      </c>
      <c r="C10" s="49">
        <f t="array" ref="C10">XLOOKUP($B10, '資料源(請謹慎編輯)'!$B:$B, '資料源(請謹慎編輯)'!C:C, 0)</f>
        <v/>
      </c>
      <c r="D10" s="50">
        <f t="array" ref="D10">XLOOKUP($B10, '資料源(請謹慎編輯)'!$B:$B, '資料源(請謹慎編輯)'!D:D, 0)</f>
        <v/>
      </c>
      <c r="E10" s="49">
        <f t="array" ref="E10">XLOOKUP($B10, '資料源(請謹慎編輯)'!$B:$B, '資料源(請謹慎編輯)'!E:E, 0)</f>
        <v/>
      </c>
      <c r="F10" s="50">
        <f t="array" ref="F10">XLOOKUP($B10, '資料源(請謹慎編輯)'!$B:$B, '資料源(請謹慎編輯)'!F:F, 0)</f>
        <v/>
      </c>
      <c r="G10" s="49">
        <f t="array" ref="G10">XLOOKUP($B10, '資料源(請謹慎編輯)'!$B:$B, '資料源(請謹慎編輯)'!G:G, 0)</f>
        <v/>
      </c>
      <c r="H10" s="50">
        <f t="array" ref="H10">XLOOKUP($B10, '資料源(請謹慎編輯)'!$B:$B, '資料源(請謹慎編輯)'!H:H, 0)</f>
        <v/>
      </c>
      <c r="I10" s="49">
        <f t="array" ref="I10">XLOOKUP($B10, '資料源(請謹慎編輯)'!$B:$B, '資料源(請謹慎編輯)'!I:I, 0)</f>
        <v/>
      </c>
      <c r="J10" s="50">
        <f t="array" ref="J10">XLOOKUP($B10, '資料源(請謹慎編輯)'!$B:$B, '資料源(請謹慎編輯)'!J:J, 0)</f>
        <v/>
      </c>
      <c r="K10" s="49">
        <f t="array" ref="K10">XLOOKUP($B10, '資料源(請謹慎編輯)'!$B:$B, '資料源(請謹慎編輯)'!K:K, 0)</f>
        <v/>
      </c>
      <c r="L10" s="50">
        <f t="array" ref="L10">XLOOKUP($B10, '資料源(請謹慎編輯)'!$B:$B, '資料源(請謹慎編輯)'!L:L, 0)</f>
        <v/>
      </c>
      <c r="M10" s="49">
        <f t="array" ref="M10">XLOOKUP($B10, '資料源(請謹慎編輯)'!$B:$B, '資料源(請謹慎編輯)'!M:M, 0)</f>
        <v/>
      </c>
      <c r="N10" s="50">
        <f t="array" ref="N10">XLOOKUP($B10, '資料源(請謹慎編輯)'!$B:$B, '資料源(請謹慎編輯)'!N:N, 0)</f>
        <v/>
      </c>
      <c r="O10" s="44">
        <f t="array" ref="O10">XLOOKUP($B10, '資料源(請謹慎編輯)'!$B:$B, '資料源(請謹慎編輯)'!O:O, 0)</f>
        <v/>
      </c>
      <c r="P10" s="45">
        <f t="array" ref="P10">XLOOKUP($B10, '資料源(請謹慎編輯)'!$B:$B, '資料源(請謹慎編輯)'!P:P, 0)</f>
        <v/>
      </c>
      <c r="Q10" s="44">
        <f t="array" ref="Q10">XLOOKUP($B10, '資料源(請謹慎編輯)'!$B:$B, '資料源(請謹慎編輯)'!Q:Q, 0)</f>
        <v/>
      </c>
      <c r="R10" s="45">
        <f t="array" ref="R10">XLOOKUP($B10, '資料源(請謹慎編輯)'!$B:$B, '資料源(請謹慎編輯)'!R:R, 0)</f>
        <v/>
      </c>
      <c r="S10" s="44">
        <f t="array" ref="S10">XLOOKUP($B10, '資料源(請謹慎編輯)'!$B:$B, '資料源(請謹慎編輯)'!S:S, 0)</f>
        <v/>
      </c>
      <c r="T10" s="45">
        <f t="array" ref="T10">XLOOKUP($B10, '資料源(請謹慎編輯)'!$B:$B, '資料源(請謹慎編輯)'!T:T, 0)</f>
        <v/>
      </c>
      <c r="U10" s="44">
        <f t="array" ref="U10">XLOOKUP($B10, '資料源(請謹慎編輯)'!$B:$B, '資料源(請謹慎編輯)'!U:U, 0)</f>
        <v/>
      </c>
      <c r="V10" s="45">
        <f t="array" ref="V10">XLOOKUP($B10, '資料源(請謹慎編輯)'!$B:$B, '資料源(請謹慎編輯)'!V:V, 0)</f>
        <v/>
      </c>
      <c r="W10" s="44">
        <f t="array" ref="W10">XLOOKUP($B10, '資料源(請謹慎編輯)'!$B:$B, '資料源(請謹慎編輯)'!W:W, 0)</f>
        <v/>
      </c>
      <c r="X10" s="45">
        <f t="array" ref="X10">XLOOKUP($B10, '資料源(請謹慎編輯)'!$B:$B, '資料源(請謹慎編輯)'!X:X, 0)</f>
        <v/>
      </c>
      <c r="Y10" s="44">
        <f t="array" ref="Y10">XLOOKUP($B10, '資料源(請謹慎編輯)'!$B:$B, '資料源(請謹慎編輯)'!Y:Y, 0)</f>
        <v/>
      </c>
      <c r="Z10" s="46">
        <f t="array" ref="Z10">XLOOKUP($B10, '資料源(請謹慎編輯)'!$B:$B, '資料源(請謹慎編輯)'!Z:Z, 0)</f>
        <v/>
      </c>
    </row>
    <row r="11" ht="18.75" customHeight="1">
      <c r="A11" s="5" t="inlineStr">
        <is>
          <t>鞋子</t>
        </is>
      </c>
      <c r="B11" s="28" t="inlineStr">
        <is>
          <t>提督長筒靴</t>
        </is>
      </c>
      <c r="C11" s="49">
        <f t="array" ref="C11">XLOOKUP($B11, '資料源(請謹慎編輯)'!$B:$B, '資料源(請謹慎編輯)'!C:C, 0)</f>
        <v/>
      </c>
      <c r="D11" s="50">
        <f t="array" ref="D11">XLOOKUP($B11, '資料源(請謹慎編輯)'!$B:$B, '資料源(請謹慎編輯)'!D:D, 0)</f>
        <v/>
      </c>
      <c r="E11" s="49">
        <f t="array" ref="E11">XLOOKUP($B11, '資料源(請謹慎編輯)'!$B:$B, '資料源(請謹慎編輯)'!E:E, 0)</f>
        <v/>
      </c>
      <c r="F11" s="50">
        <f t="array" ref="F11">XLOOKUP($B11, '資料源(請謹慎編輯)'!$B:$B, '資料源(請謹慎編輯)'!F:F, 0)</f>
        <v/>
      </c>
      <c r="G11" s="49">
        <f t="array" ref="G11">XLOOKUP($B11, '資料源(請謹慎編輯)'!$B:$B, '資料源(請謹慎編輯)'!G:G, 0)</f>
        <v/>
      </c>
      <c r="H11" s="50">
        <f t="array" ref="H11">XLOOKUP($B11, '資料源(請謹慎編輯)'!$B:$B, '資料源(請謹慎編輯)'!H:H, 0)</f>
        <v/>
      </c>
      <c r="I11" s="49">
        <f t="array" ref="I11">XLOOKUP($B11, '資料源(請謹慎編輯)'!$B:$B, '資料源(請謹慎編輯)'!I:I, 0)</f>
        <v/>
      </c>
      <c r="J11" s="50">
        <f t="array" ref="J11">XLOOKUP($B11, '資料源(請謹慎編輯)'!$B:$B, '資料源(請謹慎編輯)'!J:J, 0)</f>
        <v/>
      </c>
      <c r="K11" s="49">
        <f t="array" ref="K11">XLOOKUP($B11, '資料源(請謹慎編輯)'!$B:$B, '資料源(請謹慎編輯)'!K:K, 0)</f>
        <v/>
      </c>
      <c r="L11" s="50">
        <f t="array" ref="L11">XLOOKUP($B11, '資料源(請謹慎編輯)'!$B:$B, '資料源(請謹慎編輯)'!L:L, 0)</f>
        <v/>
      </c>
      <c r="M11" s="49">
        <f t="array" ref="M11">XLOOKUP($B11, '資料源(請謹慎編輯)'!$B:$B, '資料源(請謹慎編輯)'!M:M, 0)</f>
        <v/>
      </c>
      <c r="N11" s="50">
        <f t="array" ref="N11">XLOOKUP($B11, '資料源(請謹慎編輯)'!$B:$B, '資料源(請謹慎編輯)'!N:N, 0)</f>
        <v/>
      </c>
      <c r="O11" s="44">
        <f t="array" ref="O11">XLOOKUP($B11, '資料源(請謹慎編輯)'!$B:$B, '資料源(請謹慎編輯)'!O:O, 0)</f>
        <v/>
      </c>
      <c r="P11" s="45">
        <f t="array" ref="P11">XLOOKUP($B11, '資料源(請謹慎編輯)'!$B:$B, '資料源(請謹慎編輯)'!P:P, 0)</f>
        <v/>
      </c>
      <c r="Q11" s="44">
        <f t="array" ref="Q11">XLOOKUP($B11, '資料源(請謹慎編輯)'!$B:$B, '資料源(請謹慎編輯)'!Q:Q, 0)</f>
        <v/>
      </c>
      <c r="R11" s="45">
        <f t="array" ref="R11">XLOOKUP($B11, '資料源(請謹慎編輯)'!$B:$B, '資料源(請謹慎編輯)'!R:R, 0)</f>
        <v/>
      </c>
      <c r="S11" s="44">
        <f t="array" ref="S11">XLOOKUP($B11, '資料源(請謹慎編輯)'!$B:$B, '資料源(請謹慎編輯)'!S:S, 0)</f>
        <v/>
      </c>
      <c r="T11" s="45">
        <f t="array" ref="T11">XLOOKUP($B11, '資料源(請謹慎編輯)'!$B:$B, '資料源(請謹慎編輯)'!T:T, 0)</f>
        <v/>
      </c>
      <c r="U11" s="44">
        <f t="array" ref="U11">XLOOKUP($B11, '資料源(請謹慎編輯)'!$B:$B, '資料源(請謹慎編輯)'!U:U, 0)</f>
        <v/>
      </c>
      <c r="V11" s="45">
        <f t="array" ref="V11">XLOOKUP($B11, '資料源(請謹慎編輯)'!$B:$B, '資料源(請謹慎編輯)'!V:V, 0)</f>
        <v/>
      </c>
      <c r="W11" s="44">
        <f t="array" ref="W11">XLOOKUP($B11, '資料源(請謹慎編輯)'!$B:$B, '資料源(請謹慎編輯)'!W:W, 0)</f>
        <v/>
      </c>
      <c r="X11" s="45">
        <f t="array" ref="X11">XLOOKUP($B11, '資料源(請謹慎編輯)'!$B:$B, '資料源(請謹慎編輯)'!X:X, 0)</f>
        <v/>
      </c>
      <c r="Y11" s="44">
        <f t="array" ref="Y11">XLOOKUP($B11, '資料源(請謹慎編輯)'!$B:$B, '資料源(請謹慎編輯)'!Y:Y, 0)</f>
        <v/>
      </c>
      <c r="Z11" s="46">
        <f t="array" ref="Z11">XLOOKUP($B11, '資料源(請謹慎編輯)'!$B:$B, '資料源(請謹慎編輯)'!Z:Z, 0)</f>
        <v/>
      </c>
    </row>
    <row r="12" ht="18.75" customHeight="1">
      <c r="A12" s="17" t="inlineStr">
        <is>
          <t>職業</t>
        </is>
      </c>
      <c r="B12" s="29" t="inlineStr">
        <is>
          <t>大提督/海軍陸戰隊</t>
        </is>
      </c>
      <c r="C12" s="49">
        <f t="array" ref="C12">XLOOKUP($B12, '資料源(請謹慎編輯)'!$B$301:$B$311, '資料源(請謹慎編輯)'!C$301:C$311, 0)</f>
        <v/>
      </c>
      <c r="D12" s="50">
        <f t="array" ref="D12">XLOOKUP($B12, '資料源(請謹慎編輯)'!$B$301:$B$311, '資料源(請謹慎編輯)'!D$301:D$311, 0)</f>
        <v/>
      </c>
      <c r="E12" s="49">
        <f t="array" ref="E12">XLOOKUP($B12, '資料源(請謹慎編輯)'!$B$301:$B$311, '資料源(請謹慎編輯)'!E$301:E$311, 0)</f>
        <v/>
      </c>
      <c r="F12" s="50">
        <f t="array" ref="F12">XLOOKUP($B12, '資料源(請謹慎編輯)'!$B$301:$B$311, '資料源(請謹慎編輯)'!F$301:F$311, 0)</f>
        <v/>
      </c>
      <c r="G12" s="49">
        <f t="array" ref="G12">XLOOKUP($B12, '資料源(請謹慎編輯)'!$B$301:$B$311, '資料源(請謹慎編輯)'!G$301:G$311, 0)</f>
        <v/>
      </c>
      <c r="H12" s="50">
        <f t="array" ref="H12">XLOOKUP($B12, '資料源(請謹慎編輯)'!$B$301:$B$311, '資料源(請謹慎編輯)'!H$301:H$311, 0)</f>
        <v/>
      </c>
      <c r="I12" s="49">
        <f t="array" ref="I12">XLOOKUP($B12, '資料源(請謹慎編輯)'!$B$301:$B$311, '資料源(請謹慎編輯)'!I$301:I$311, 0)</f>
        <v/>
      </c>
      <c r="J12" s="50">
        <f t="array" ref="J12">XLOOKUP($B12, '資料源(請謹慎編輯)'!$B$301:$B$311, '資料源(請謹慎編輯)'!J$301:J$311, 0)</f>
        <v/>
      </c>
      <c r="K12" s="49">
        <f t="array" ref="K12">XLOOKUP($B12, '資料源(請謹慎編輯)'!$B$301:$B$311, '資料源(請謹慎編輯)'!K$301:K$311, 0)</f>
        <v/>
      </c>
      <c r="L12" s="50">
        <f t="array" ref="L12">XLOOKUP($B12, '資料源(請謹慎編輯)'!$B$301:$B$311, '資料源(請謹慎編輯)'!L$301:L$311, 0)</f>
        <v/>
      </c>
      <c r="M12" s="49">
        <f t="array" ref="M12">XLOOKUP($B12, '資料源(請謹慎編輯)'!$B$301:$B$311, '資料源(請謹慎編輯)'!M$301:M$311, 0)</f>
        <v/>
      </c>
      <c r="N12" s="50">
        <f t="array" ref="N12">XLOOKUP($B12, '資料源(請謹慎編輯)'!$B$301:$B$311, '資料源(請謹慎編輯)'!N$301:N$311, 0)</f>
        <v/>
      </c>
      <c r="O12" s="49">
        <f t="array" ref="O12">XLOOKUP($B12, '資料源(請謹慎編輯)'!$B$301:$B$311, '資料源(請謹慎編輯)'!O$301:O$311, 0)</f>
        <v/>
      </c>
      <c r="P12" s="50">
        <f t="array" ref="P12">XLOOKUP($B12, '資料源(請謹慎編輯)'!$B$301:$B$311, '資料源(請謹慎編輯)'!P$301:P$311, 0)</f>
        <v/>
      </c>
      <c r="Q12" s="49">
        <f t="array" ref="Q12">XLOOKUP($B12, '資料源(請謹慎編輯)'!$B$301:$B$311, '資料源(請謹慎編輯)'!Q$301:Q$311, 0)</f>
        <v/>
      </c>
      <c r="R12" s="50">
        <f t="array" ref="R12">XLOOKUP($B12, '資料源(請謹慎編輯)'!$B$301:$B$311, '資料源(請謹慎編輯)'!R$301:R$311, 0)</f>
        <v/>
      </c>
      <c r="S12" s="49">
        <f t="array" ref="S12">XLOOKUP($B12, '資料源(請謹慎編輯)'!$B$301:$B$311, '資料源(請謹慎編輯)'!S$301:S$311, 0)</f>
        <v/>
      </c>
      <c r="T12" s="50">
        <f t="array" ref="T12">XLOOKUP($B12, '資料源(請謹慎編輯)'!$B$301:$B$311, '資料源(請謹慎編輯)'!T$301:T$311, 0)</f>
        <v/>
      </c>
      <c r="U12" s="49">
        <f t="array" ref="U12">XLOOKUP($B12, '資料源(請謹慎編輯)'!$B$301:$B$311, '資料源(請謹慎編輯)'!U$301:U$311, 0)</f>
        <v/>
      </c>
      <c r="V12" s="50">
        <f t="array" ref="V12">XLOOKUP($B12, '資料源(請謹慎編輯)'!$B$301:$B$311, '資料源(請謹慎編輯)'!V$301:V$311, 0)</f>
        <v/>
      </c>
      <c r="W12" s="49">
        <f t="array" ref="W12">XLOOKUP($B12, '資料源(請謹慎編輯)'!$B$301:$B$311, '資料源(請謹慎編輯)'!W$301:W$311, 0)</f>
        <v/>
      </c>
      <c r="X12" s="50">
        <f t="array" ref="X12">XLOOKUP($B12, '資料源(請謹慎編輯)'!$B$301:$B$311, '資料源(請謹慎編輯)'!X$301:X$311, 0)</f>
        <v/>
      </c>
      <c r="Y12" s="49">
        <f t="array" ref="Y12">XLOOKUP($B12, '資料源(請謹慎編輯)'!$B$301:$B$311, '資料源(請謹慎編輯)'!Y$301:Y$311, 0)</f>
        <v/>
      </c>
      <c r="Z12" s="51">
        <f t="array" ref="Z12">XLOOKUP($B12, '資料源(請謹慎編輯)'!$B$301:$B$311, '資料源(請謹慎編輯)'!Z$301:Z$311, 0)</f>
        <v/>
      </c>
    </row>
    <row r="13" ht="18.75" customHeight="1">
      <c r="A13" s="52" t="inlineStr">
        <is>
          <t>角色上限</t>
        </is>
      </c>
      <c r="B13" s="53" t="n"/>
      <c r="C13" s="47">
        <f t="array" ref="C13">XLOOKUP($B12, '資料源(請謹慎編輯)'!$B$301:$B$311, '資料源(請謹慎編輯)'!C$315:C$324, 0)</f>
        <v/>
      </c>
      <c r="D13" s="48">
        <f t="array" ref="D13">XLOOKUP($B12, '資料源(請謹慎編輯)'!$B$301:$B$311, '資料源(請謹慎編輯)'!D$315:D$324, 0)</f>
        <v/>
      </c>
      <c r="E13" s="47">
        <f t="array" ref="E13">XLOOKUP($B12, '資料源(請謹慎編輯)'!$B$301:$B$311, '資料源(請謹慎編輯)'!E$315:E$324, 0)</f>
        <v/>
      </c>
      <c r="F13" s="48">
        <f t="array" ref="F13">XLOOKUP($B12, '資料源(請謹慎編輯)'!$B$301:$B$311, '資料源(請謹慎編輯)'!F$315:F$324, 0)</f>
        <v/>
      </c>
      <c r="G13" s="47">
        <f t="array" ref="G13">XLOOKUP($B12, '資料源(請謹慎編輯)'!$B$301:$B$311, '資料源(請謹慎編輯)'!G$315:G$324, 0)</f>
        <v/>
      </c>
      <c r="H13" s="48">
        <f t="array" ref="H13">XLOOKUP($B12, '資料源(請謹慎編輯)'!$B$301:$B$311, '資料源(請謹慎編輯)'!H$315:H$324, 0)</f>
        <v/>
      </c>
      <c r="I13" s="47">
        <f t="array" ref="I13">XLOOKUP($B12, '資料源(請謹慎編輯)'!$B$301:$B$311, '資料源(請謹慎編輯)'!I$315:I$324, 0)</f>
        <v/>
      </c>
      <c r="J13" s="48">
        <f t="array" ref="J13">XLOOKUP($B12, '資料源(請謹慎編輯)'!$B$301:$B$311, '資料源(請謹慎編輯)'!J$315:J$324, 0)</f>
        <v/>
      </c>
      <c r="K13" s="47">
        <f t="array" ref="K13">XLOOKUP($B12, '資料源(請謹慎編輯)'!$B$301:$B$311, '資料源(請謹慎編輯)'!K$315:K$324, 0)</f>
        <v/>
      </c>
      <c r="L13" s="48">
        <f t="array" ref="L13">XLOOKUP($B12, '資料源(請謹慎編輯)'!$B$301:$B$311, '資料源(請謹慎編輯)'!L$315:L$324, 0)</f>
        <v/>
      </c>
      <c r="M13" s="47">
        <f t="array" ref="M13">XLOOKUP($B12, '資料源(請謹慎編輯)'!$B$301:$B$311, '資料源(請謹慎編輯)'!M$315:M$324, 0)</f>
        <v/>
      </c>
      <c r="N13" s="48">
        <f t="array" ref="N13">XLOOKUP($B12, '資料源(請謹慎編輯)'!$B$301:$B$311, '資料源(請謹慎編輯)'!N$315:N$324, 0)</f>
        <v/>
      </c>
      <c r="O13" s="47">
        <f t="array" ref="O13">XLOOKUP($B12, '資料源(請謹慎編輯)'!$B$301:$B$311, '資料源(請謹慎編輯)'!O$315:O$324, 0)</f>
        <v/>
      </c>
      <c r="P13" s="50">
        <f t="array" ref="P13">XLOOKUP($B12, '資料源(請謹慎編輯)'!$B$301:$B$311, '資料源(請謹慎編輯)'!P$315:P$324, 0)</f>
        <v/>
      </c>
      <c r="Q13" s="49">
        <f t="array" ref="Q13">XLOOKUP($B12, '資料源(請謹慎編輯)'!$B$301:$B$311, '資料源(請謹慎編輯)'!Q$315:Q$324, 0)</f>
        <v/>
      </c>
      <c r="R13" s="50">
        <f t="array" ref="R13">XLOOKUP($B12, '資料源(請謹慎編輯)'!$B$301:$B$311, '資料源(請謹慎編輯)'!R$315:R$324, 0)</f>
        <v/>
      </c>
      <c r="S13" s="49">
        <f t="array" ref="S13">XLOOKUP($B12, '資料源(請謹慎編輯)'!$B$301:$B$311, '資料源(請謹慎編輯)'!S$315:S$324, 0)</f>
        <v/>
      </c>
      <c r="T13" s="50">
        <f t="array" ref="T13">XLOOKUP($B12, '資料源(請謹慎編輯)'!$B$301:$B$311, '資料源(請謹慎編輯)'!T$315:T$324, 0)</f>
        <v/>
      </c>
      <c r="U13" s="49">
        <f t="array" ref="U13">XLOOKUP($B12, '資料源(請謹慎編輯)'!$B$301:$B$311, '資料源(請謹慎編輯)'!U$315:U$324, 0)</f>
        <v/>
      </c>
      <c r="V13" s="50">
        <f t="array" ref="V13">XLOOKUP($B12, '資料源(請謹慎編輯)'!$B$301:$B$311, '資料源(請謹慎編輯)'!V$315:V$324, 0)</f>
        <v/>
      </c>
      <c r="W13" s="49">
        <f t="array" ref="W13">XLOOKUP($B12, '資料源(請謹慎編輯)'!$B$301:$B$311, '資料源(請謹慎編輯)'!W$315:W$324, 0)</f>
        <v/>
      </c>
      <c r="X13" s="50">
        <f t="array" ref="X13">XLOOKUP($B12, '資料源(請謹慎編輯)'!$B$301:$B$311, '資料源(請謹慎編輯)'!X$315:X$324, 0)</f>
        <v/>
      </c>
      <c r="Y13" s="49">
        <f t="array" ref="Y13">XLOOKUP($B12, '資料源(請謹慎編輯)'!$B$301:$B$311, '資料源(請謹慎編輯)'!Y$315:Y$324, 0)</f>
        <v/>
      </c>
      <c r="Z13" s="51">
        <f t="array" ref="Z13">XLOOKUP($B12, '資料源(請謹慎編輯)'!$B$301:$B$311, '資料源(請謹慎編輯)'!Z$315:Z$324, 0)</f>
        <v/>
      </c>
    </row>
    <row r="14" ht="18.75" customHeight="1">
      <c r="A14" s="54" t="inlineStr">
        <is>
          <t>航海士</t>
        </is>
      </c>
      <c r="B14" s="55" t="n"/>
      <c r="C14" s="49" t="n">
        <v>1</v>
      </c>
      <c r="D14" s="50" t="n">
        <v>1</v>
      </c>
      <c r="E14" s="49" t="n">
        <v>1</v>
      </c>
      <c r="F14" s="50" t="n">
        <v>1</v>
      </c>
      <c r="G14" s="49" t="n">
        <v>1</v>
      </c>
      <c r="H14" s="50" t="n">
        <v>1</v>
      </c>
      <c r="I14" s="49" t="n">
        <v>1</v>
      </c>
      <c r="J14" s="50" t="n">
        <v>2</v>
      </c>
      <c r="K14" s="49" t="n">
        <v>1</v>
      </c>
      <c r="L14" s="50" t="n">
        <v>1</v>
      </c>
      <c r="M14" s="49" t="n">
        <v>1</v>
      </c>
      <c r="N14" s="50" t="n">
        <v>2</v>
      </c>
      <c r="O14" s="20" t="n">
        <v>1</v>
      </c>
      <c r="P14" s="5" t="n">
        <v>1</v>
      </c>
      <c r="Q14" s="21" t="n">
        <v>1</v>
      </c>
      <c r="R14" s="5" t="n">
        <v>1</v>
      </c>
      <c r="S14" s="21" t="n">
        <v>1</v>
      </c>
      <c r="T14" s="5" t="n">
        <v>1</v>
      </c>
      <c r="U14" s="21" t="n"/>
      <c r="V14" s="5" t="n"/>
      <c r="W14" s="22" t="n">
        <v>1</v>
      </c>
      <c r="X14" s="45" t="n">
        <v>1</v>
      </c>
      <c r="Y14" s="44" t="n">
        <v>1</v>
      </c>
      <c r="Z14" s="23" t="n">
        <v>1</v>
      </c>
    </row>
    <row r="15" ht="18.75" customHeight="1">
      <c r="A15" s="56" t="inlineStr">
        <is>
          <t>加總</t>
        </is>
      </c>
      <c r="B15" s="55" t="n"/>
      <c r="C15" s="57">
        <f>SUM(C2:C14)</f>
        <v/>
      </c>
      <c r="D15" s="57">
        <f>SUM(D2:D14)</f>
        <v/>
      </c>
      <c r="E15" s="57">
        <f>SUM(E2:E14)</f>
        <v/>
      </c>
      <c r="F15" s="57">
        <f>SUM(F2:F14)</f>
        <v/>
      </c>
      <c r="G15" s="57">
        <f>SUM(G2:G14)</f>
        <v/>
      </c>
      <c r="H15" s="57">
        <f>SUM(H2:H14)</f>
        <v/>
      </c>
      <c r="I15" s="57">
        <f>SUM(I2:I14)</f>
        <v/>
      </c>
      <c r="J15" s="57">
        <f>SUM(J2:J14)</f>
        <v/>
      </c>
      <c r="K15" s="57">
        <f>SUM(K2:K14)</f>
        <v/>
      </c>
      <c r="L15" s="57">
        <f>SUM(L2:L14)</f>
        <v/>
      </c>
      <c r="M15" s="57">
        <f>SUM(M2:M14)</f>
        <v/>
      </c>
      <c r="N15" s="57">
        <f>SUM(N2:N14)</f>
        <v/>
      </c>
      <c r="O15" s="57">
        <f>SUM(O2:O14)</f>
        <v/>
      </c>
      <c r="P15" s="57">
        <f>SUM(P2:P14)</f>
        <v/>
      </c>
      <c r="Q15" s="57">
        <f>SUM(Q2:Q14)</f>
        <v/>
      </c>
      <c r="R15" s="57">
        <f>SUM(R2:R14)</f>
        <v/>
      </c>
      <c r="S15" s="57">
        <f>SUM(S2:S14)</f>
        <v/>
      </c>
      <c r="T15" s="57">
        <f>SUM(T2:T14)</f>
        <v/>
      </c>
      <c r="U15" s="57">
        <f>SUM(U2:U14)</f>
        <v/>
      </c>
      <c r="V15" s="57">
        <f>SUM(V2:V14)</f>
        <v/>
      </c>
      <c r="W15" s="57">
        <f>SUM(W2:W14)</f>
        <v/>
      </c>
      <c r="X15" s="57">
        <f>SUM(X2:X14)</f>
        <v/>
      </c>
      <c r="Y15" s="57">
        <f>SUM(Y2:Y14)</f>
        <v/>
      </c>
      <c r="Z15" s="57">
        <f>SUM(Z2:Z14)</f>
        <v/>
      </c>
    </row>
    <row r="16" ht="18.75" customHeight="1">
      <c r="A16" s="5" t="n"/>
      <c r="B16" s="2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8.75" customHeight="1">
      <c r="A17" s="5" t="n"/>
      <c r="B17" s="2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8.75" customHeight="1">
      <c r="A18" s="5" t="n"/>
      <c r="B18" s="2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8.75" customHeight="1">
      <c r="A19" s="5" t="n"/>
      <c r="B19" s="2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8.75" customHeight="1">
      <c r="A20" s="5" t="n"/>
      <c r="B20" s="2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8.75" customHeight="1">
      <c r="A21" s="5" t="n"/>
      <c r="B21" s="2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8" t="inlineStr">
        <is>
          <t>製作者：鎮魂歌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8.75" customHeight="1">
      <c r="A22" s="5" t="n"/>
      <c r="B22" s="2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8.75" customHeight="1">
      <c r="A23" s="5" t="n"/>
      <c r="B23" s="2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8.75" customHeight="1">
      <c r="A24" s="5" t="n"/>
      <c r="B24" s="2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8.75" customHeight="1">
      <c r="A25" s="5" t="n"/>
      <c r="B25" s="2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8.75" customHeight="1">
      <c r="A26" s="5" t="n"/>
      <c r="B26" s="2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8.75" customHeight="1">
      <c r="A27" s="5" t="n"/>
      <c r="B27" s="2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8.75" customHeight="1">
      <c r="A28" s="5" t="n"/>
      <c r="B28" s="2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26" t="n"/>
      <c r="Y28" s="5" t="n"/>
      <c r="Z28" s="5" t="n"/>
    </row>
    <row r="29" ht="18.75" customHeight="1">
      <c r="A29" s="5" t="n"/>
      <c r="B29" s="2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8.75" customHeight="1">
      <c r="A30" s="5" t="n"/>
      <c r="B30" s="2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8.75" customHeight="1">
      <c r="A31" s="5" t="n"/>
      <c r="B31" s="2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8.75" customHeight="1">
      <c r="A32" s="5" t="n"/>
      <c r="B32" s="2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8.75" customHeight="1">
      <c r="A33" s="5" t="n"/>
      <c r="B33" s="2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8.75" customHeight="1">
      <c r="A34" s="5" t="n"/>
      <c r="B34" s="2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8.75" customHeight="1">
      <c r="A35" s="5" t="n"/>
      <c r="B35" s="2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8.75" customHeight="1">
      <c r="A36" s="5" t="n"/>
      <c r="B36" s="2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8.75" customHeight="1">
      <c r="A37" s="5" t="n"/>
      <c r="B37" s="2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8.75" customHeight="1">
      <c r="A38" s="5" t="n"/>
      <c r="B38" s="2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8.75" customHeight="1">
      <c r="A39" s="5" t="n"/>
      <c r="B39" s="2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8.75" customHeight="1">
      <c r="A40" s="5" t="n"/>
      <c r="B40" s="2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8.75" customHeight="1">
      <c r="A41" s="5" t="n"/>
      <c r="B41" s="2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8.75" customHeight="1">
      <c r="A42" s="5" t="n"/>
      <c r="B42" s="2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8.75" customHeight="1">
      <c r="A43" s="5" t="n"/>
      <c r="B43" s="2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8.75" customHeight="1">
      <c r="A44" s="5" t="n"/>
      <c r="B44" s="2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8.75" customHeight="1">
      <c r="A45" s="5" t="n"/>
      <c r="B45" s="2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8.75" customHeight="1">
      <c r="A46" s="5" t="n"/>
      <c r="B46" s="2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8.75" customHeight="1">
      <c r="A47" s="5" t="n"/>
      <c r="B47" s="2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8.75" customHeight="1">
      <c r="A48" s="5" t="n"/>
      <c r="B48" s="2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8.75" customHeight="1">
      <c r="A49" s="5" t="n"/>
      <c r="B49" s="2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8.75" customHeight="1">
      <c r="A50" s="5" t="n"/>
      <c r="B50" s="2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8.75" customHeight="1">
      <c r="A51" s="5" t="n"/>
      <c r="B51" s="2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8.75" customHeight="1">
      <c r="A52" s="5" t="n"/>
      <c r="B52" s="2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8.75" customHeight="1">
      <c r="A53" s="5" t="n"/>
      <c r="B53" s="2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8.75" customHeight="1">
      <c r="A54" s="5" t="n"/>
      <c r="B54" s="2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8.75" customHeight="1">
      <c r="A55" s="5" t="n"/>
      <c r="B55" s="2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8.75" customHeight="1">
      <c r="A56" s="5" t="n"/>
      <c r="B56" s="2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8.75" customHeight="1">
      <c r="A57" s="5" t="n"/>
      <c r="B57" s="2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8.75" customHeight="1">
      <c r="A58" s="5" t="n"/>
      <c r="B58" s="2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8.75" customHeight="1">
      <c r="A59" s="5" t="n"/>
      <c r="B59" s="2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8.75" customHeight="1">
      <c r="A60" s="5" t="n"/>
      <c r="B60" s="2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8.75" customHeight="1">
      <c r="A61" s="5" t="n"/>
      <c r="B61" s="2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8.75" customHeight="1">
      <c r="A62" s="5" t="n"/>
      <c r="B62" s="2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8.75" customHeight="1">
      <c r="A63" s="5" t="n"/>
      <c r="B63" s="2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8.75" customHeight="1">
      <c r="A64" s="5" t="n"/>
      <c r="B64" s="2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8.75" customHeight="1">
      <c r="A65" s="5" t="n"/>
      <c r="B65" s="2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8.75" customHeight="1">
      <c r="A66" s="5" t="n"/>
      <c r="B66" s="2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8.75" customHeight="1">
      <c r="A67" s="5" t="n"/>
      <c r="B67" s="2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8.75" customHeight="1">
      <c r="A68" s="5" t="n"/>
      <c r="B68" s="2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8.75" customHeight="1">
      <c r="A69" s="5" t="n"/>
      <c r="B69" s="2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8.75" customHeight="1">
      <c r="A70" s="5" t="n"/>
      <c r="B70" s="2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8.75" customHeight="1">
      <c r="A71" s="5" t="n"/>
      <c r="B71" s="2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8.75" customHeight="1">
      <c r="A72" s="5" t="n"/>
      <c r="B72" s="2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8.75" customHeight="1">
      <c r="A73" s="5" t="n"/>
      <c r="B73" s="2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8.75" customHeight="1">
      <c r="A74" s="5" t="n"/>
      <c r="B74" s="2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8.75" customHeight="1">
      <c r="A75" s="5" t="n"/>
      <c r="B75" s="2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8.75" customHeight="1">
      <c r="A76" s="5" t="n"/>
      <c r="B76" s="2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8.75" customHeight="1">
      <c r="A77" s="5" t="n"/>
      <c r="B77" s="2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8.75" customHeight="1">
      <c r="A78" s="5" t="n"/>
      <c r="B78" s="2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8.75" customHeight="1">
      <c r="A79" s="5" t="n"/>
      <c r="B79" s="2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8.75" customHeight="1">
      <c r="A80" s="5" t="n"/>
      <c r="B80" s="2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8.75" customHeight="1">
      <c r="A81" s="5" t="n"/>
      <c r="B81" s="2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8.75" customHeight="1">
      <c r="A82" s="5" t="n"/>
      <c r="B82" s="2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8.75" customHeight="1">
      <c r="A83" s="5" t="n"/>
      <c r="B83" s="2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8.75" customHeight="1">
      <c r="A84" s="5" t="n"/>
      <c r="B84" s="2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8.75" customHeight="1">
      <c r="A85" s="5" t="n"/>
      <c r="B85" s="2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8.75" customHeight="1">
      <c r="A86" s="5" t="n"/>
      <c r="B86" s="2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8.75" customHeight="1">
      <c r="A87" s="5" t="n"/>
      <c r="B87" s="2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8.75" customHeight="1">
      <c r="A88" s="5" t="n"/>
      <c r="B88" s="2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8.75" customHeight="1">
      <c r="A89" s="5" t="n"/>
      <c r="B89" s="2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8.75" customHeight="1">
      <c r="A90" s="5" t="n"/>
      <c r="B90" s="2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8.75" customHeight="1">
      <c r="A91" s="5" t="n"/>
      <c r="B91" s="2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8.75" customHeight="1">
      <c r="A92" s="5" t="n"/>
      <c r="B92" s="2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8.75" customHeight="1">
      <c r="A93" s="5" t="n"/>
      <c r="B93" s="2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8.75" customHeight="1">
      <c r="A94" s="5" t="n"/>
      <c r="B94" s="2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8.75" customHeight="1">
      <c r="A95" s="5" t="n"/>
      <c r="B95" s="2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8.75" customHeight="1">
      <c r="A96" s="5" t="n"/>
      <c r="B96" s="2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8.75" customHeight="1">
      <c r="A97" s="5" t="n"/>
      <c r="B97" s="2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8.75" customHeight="1">
      <c r="A98" s="5" t="n"/>
      <c r="B98" s="2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8.75" customHeight="1">
      <c r="A99" s="5" t="n"/>
      <c r="B99" s="2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8.75" customHeight="1">
      <c r="A100" s="5" t="n"/>
      <c r="B100" s="2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8.75" customHeight="1">
      <c r="A101" s="5" t="n"/>
      <c r="B101" s="2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8.75" customHeight="1">
      <c r="A102" s="5" t="n"/>
      <c r="B102" s="2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8.75" customHeight="1">
      <c r="A103" s="5" t="n"/>
      <c r="B103" s="2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8.75" customHeight="1">
      <c r="A104" s="5" t="n"/>
      <c r="B104" s="2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8.75" customHeight="1">
      <c r="A105" s="5" t="n"/>
      <c r="B105" s="2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8.75" customHeight="1">
      <c r="A106" s="5" t="n"/>
      <c r="B106" s="2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8.75" customHeight="1">
      <c r="A107" s="5" t="n"/>
      <c r="B107" s="2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8.75" customHeight="1">
      <c r="A108" s="5" t="n"/>
      <c r="B108" s="2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8.75" customHeight="1">
      <c r="A109" s="5" t="n"/>
      <c r="B109" s="2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8.75" customHeight="1">
      <c r="A110" s="5" t="n"/>
      <c r="B110" s="2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8.75" customHeight="1">
      <c r="A111" s="5" t="n"/>
      <c r="B111" s="2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8.75" customHeight="1">
      <c r="A112" s="5" t="n"/>
      <c r="B112" s="2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8.75" customHeight="1">
      <c r="A113" s="5" t="n"/>
      <c r="B113" s="2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8.75" customHeight="1">
      <c r="A114" s="5" t="n"/>
      <c r="B114" s="2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8.75" customHeight="1">
      <c r="A115" s="5" t="n"/>
      <c r="B115" s="2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8.75" customHeight="1">
      <c r="A116" s="5" t="n"/>
      <c r="B116" s="2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8.75" customHeight="1">
      <c r="A117" s="5" t="n"/>
      <c r="B117" s="2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8.75" customHeight="1">
      <c r="A118" s="5" t="n"/>
      <c r="B118" s="2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8.75" customHeight="1">
      <c r="A119" s="5" t="n"/>
      <c r="B119" s="2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8.75" customHeight="1">
      <c r="A120" s="5" t="n"/>
      <c r="B120" s="2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8.75" customHeight="1">
      <c r="A121" s="5" t="n"/>
      <c r="B121" s="2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8.75" customHeight="1">
      <c r="A122" s="5" t="n"/>
      <c r="B122" s="2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8.75" customHeight="1">
      <c r="A123" s="5" t="n"/>
      <c r="B123" s="2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8.75" customHeight="1">
      <c r="A124" s="5" t="n"/>
      <c r="B124" s="2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8.75" customHeight="1">
      <c r="A125" s="5" t="n"/>
      <c r="B125" s="2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8.75" customHeight="1">
      <c r="A126" s="5" t="n"/>
      <c r="B126" s="2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8.75" customHeight="1">
      <c r="A127" s="5" t="n"/>
      <c r="B127" s="2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8.75" customHeight="1">
      <c r="A128" s="5" t="n"/>
      <c r="B128" s="2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8.75" customHeight="1">
      <c r="A129" s="5" t="n"/>
      <c r="B129" s="2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8.75" customHeight="1">
      <c r="A130" s="5" t="n"/>
      <c r="B130" s="2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8.75" customHeight="1">
      <c r="A131" s="5" t="n"/>
      <c r="B131" s="2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8.75" customHeight="1">
      <c r="A132" s="5" t="n"/>
      <c r="B132" s="2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8.75" customHeight="1">
      <c r="A133" s="5" t="n"/>
      <c r="B133" s="2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8.75" customHeight="1">
      <c r="A134" s="5" t="n"/>
      <c r="B134" s="2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8.75" customHeight="1">
      <c r="A135" s="5" t="n"/>
      <c r="B135" s="2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8.75" customHeight="1">
      <c r="A136" s="5" t="n"/>
      <c r="B136" s="2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8.75" customHeight="1">
      <c r="A137" s="5" t="n"/>
      <c r="B137" s="2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8.75" customHeight="1">
      <c r="A138" s="5" t="n"/>
      <c r="B138" s="2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8.75" customHeight="1">
      <c r="A139" s="5" t="n"/>
      <c r="B139" s="2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8.75" customHeight="1">
      <c r="A140" s="5" t="n"/>
      <c r="B140" s="2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8.75" customHeight="1">
      <c r="A141" s="5" t="n"/>
      <c r="B141" s="2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8.75" customHeight="1">
      <c r="A142" s="5" t="n"/>
      <c r="B142" s="2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8.75" customHeight="1">
      <c r="A143" s="5" t="n"/>
      <c r="B143" s="2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8.75" customHeight="1">
      <c r="A144" s="5" t="n"/>
      <c r="B144" s="2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8.75" customHeight="1">
      <c r="A145" s="5" t="n"/>
      <c r="B145" s="2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8.75" customHeight="1">
      <c r="A146" s="5" t="n"/>
      <c r="B146" s="2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8.75" customHeight="1">
      <c r="A147" s="5" t="n"/>
      <c r="B147" s="2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8.75" customHeight="1">
      <c r="A148" s="5" t="n"/>
      <c r="B148" s="2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8.75" customHeight="1">
      <c r="A149" s="5" t="n"/>
      <c r="B149" s="2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8.75" customHeight="1">
      <c r="A150" s="5" t="n"/>
      <c r="B150" s="2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8.75" customHeight="1">
      <c r="A151" s="5" t="n"/>
      <c r="B151" s="2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8.75" customHeight="1">
      <c r="A152" s="5" t="n"/>
      <c r="B152" s="2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8.75" customHeight="1">
      <c r="A153" s="5" t="n"/>
      <c r="B153" s="2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8.75" customHeight="1">
      <c r="A154" s="5" t="n"/>
      <c r="B154" s="2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8.75" customHeight="1">
      <c r="A155" s="5" t="n"/>
      <c r="B155" s="2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8.75" customHeight="1">
      <c r="A156" s="5" t="n"/>
      <c r="B156" s="2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8.75" customHeight="1">
      <c r="A157" s="5" t="n"/>
      <c r="B157" s="2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8.75" customHeight="1">
      <c r="A158" s="5" t="n"/>
      <c r="B158" s="2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8.75" customHeight="1">
      <c r="A159" s="5" t="n"/>
      <c r="B159" s="2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8.75" customHeight="1">
      <c r="A160" s="5" t="n"/>
      <c r="B160" s="2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8.75" customHeight="1">
      <c r="A161" s="5" t="n"/>
      <c r="B161" s="2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8.75" customHeight="1">
      <c r="A162" s="5" t="n"/>
      <c r="B162" s="2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8.75" customHeight="1">
      <c r="A163" s="5" t="n"/>
      <c r="B163" s="2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8.75" customHeight="1">
      <c r="A164" s="5" t="n"/>
      <c r="B164" s="2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8.75" customHeight="1">
      <c r="A165" s="5" t="n"/>
      <c r="B165" s="2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8.75" customHeight="1">
      <c r="A166" s="5" t="n"/>
      <c r="B166" s="2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8.75" customHeight="1">
      <c r="A167" s="5" t="n"/>
      <c r="B167" s="2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8.75" customHeight="1">
      <c r="A168" s="5" t="n"/>
      <c r="B168" s="2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8.75" customHeight="1">
      <c r="A169" s="5" t="n"/>
      <c r="B169" s="2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8.75" customHeight="1">
      <c r="A170" s="5" t="n"/>
      <c r="B170" s="2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8.75" customHeight="1">
      <c r="A171" s="5" t="n"/>
      <c r="B171" s="2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8.75" customHeight="1">
      <c r="A172" s="5" t="n"/>
      <c r="B172" s="2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8.75" customHeight="1">
      <c r="A173" s="5" t="n"/>
      <c r="B173" s="2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8.75" customHeight="1">
      <c r="A174" s="5" t="n"/>
      <c r="B174" s="2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8.75" customHeight="1">
      <c r="A175" s="5" t="n"/>
      <c r="B175" s="2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8.75" customHeight="1">
      <c r="A176" s="5" t="n"/>
      <c r="B176" s="2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8.75" customHeight="1">
      <c r="A177" s="5" t="n"/>
      <c r="B177" s="2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8.75" customHeight="1">
      <c r="A178" s="5" t="n"/>
      <c r="B178" s="2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8.75" customHeight="1">
      <c r="A179" s="5" t="n"/>
      <c r="B179" s="2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8.75" customHeight="1">
      <c r="A180" s="5" t="n"/>
      <c r="B180" s="2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8.75" customHeight="1">
      <c r="A181" s="5" t="n"/>
      <c r="B181" s="2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8.75" customHeight="1">
      <c r="A182" s="5" t="n"/>
      <c r="B182" s="2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8.75" customHeight="1">
      <c r="A183" s="5" t="n"/>
      <c r="B183" s="2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8.75" customHeight="1">
      <c r="A184" s="5" t="n"/>
      <c r="B184" s="2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8.75" customHeight="1">
      <c r="A185" s="5" t="n"/>
      <c r="B185" s="2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8.75" customHeight="1">
      <c r="A186" s="5" t="n"/>
      <c r="B186" s="2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8.75" customHeight="1">
      <c r="A187" s="5" t="n"/>
      <c r="B187" s="2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8.75" customHeight="1">
      <c r="A188" s="5" t="n"/>
      <c r="B188" s="2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8.75" customHeight="1">
      <c r="A189" s="5" t="n"/>
      <c r="B189" s="2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8.75" customHeight="1">
      <c r="A190" s="5" t="n"/>
      <c r="B190" s="2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8.75" customHeight="1">
      <c r="A191" s="5" t="n"/>
      <c r="B191" s="2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8.75" customHeight="1">
      <c r="A192" s="5" t="n"/>
      <c r="B192" s="2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8.75" customHeight="1">
      <c r="A193" s="5" t="n"/>
      <c r="B193" s="2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8.75" customHeight="1">
      <c r="A194" s="5" t="n"/>
      <c r="B194" s="2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8.75" customHeight="1">
      <c r="A195" s="5" t="n"/>
      <c r="B195" s="2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8.75" customHeight="1">
      <c r="A196" s="5" t="n"/>
      <c r="B196" s="2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8.75" customHeight="1">
      <c r="A197" s="5" t="n"/>
      <c r="B197" s="2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8.75" customHeight="1">
      <c r="A198" s="5" t="n"/>
      <c r="B198" s="2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8.75" customHeight="1">
      <c r="A199" s="5" t="n"/>
      <c r="B199" s="2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8.75" customHeight="1">
      <c r="A200" s="5" t="n"/>
      <c r="B200" s="2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8.75" customHeight="1">
      <c r="A201" s="5" t="n"/>
      <c r="B201" s="2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8.75" customHeight="1">
      <c r="A202" s="5" t="n"/>
      <c r="B202" s="2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8.75" customHeight="1">
      <c r="A203" s="5" t="n"/>
      <c r="B203" s="2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8.75" customHeight="1">
      <c r="A204" s="5" t="n"/>
      <c r="B204" s="2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8.75" customHeight="1">
      <c r="A205" s="5" t="n"/>
      <c r="B205" s="2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8.75" customHeight="1">
      <c r="A206" s="5" t="n"/>
      <c r="B206" s="2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8.75" customHeight="1">
      <c r="A207" s="5" t="n"/>
      <c r="B207" s="2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8.75" customHeight="1">
      <c r="A208" s="5" t="n"/>
      <c r="B208" s="2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8.75" customHeight="1">
      <c r="A209" s="5" t="n"/>
      <c r="B209" s="2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8.75" customHeight="1">
      <c r="A210" s="5" t="n"/>
      <c r="B210" s="2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8.75" customHeight="1">
      <c r="A211" s="5" t="n"/>
      <c r="B211" s="2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8.75" customHeight="1">
      <c r="A212" s="5" t="n"/>
      <c r="B212" s="2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8.75" customHeight="1">
      <c r="A213" s="5" t="n"/>
      <c r="B213" s="2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8.75" customHeight="1">
      <c r="A214" s="5" t="n"/>
      <c r="B214" s="2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8.75" customHeight="1">
      <c r="A215" s="5" t="n"/>
      <c r="B215" s="2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8.75" customHeight="1">
      <c r="A216" s="5" t="n"/>
      <c r="B216" s="2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8.75" customHeight="1">
      <c r="A217" s="5" t="n"/>
      <c r="B217" s="2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8.75" customHeight="1">
      <c r="A218" s="5" t="n"/>
      <c r="B218" s="2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8.75" customHeight="1">
      <c r="A219" s="5" t="n"/>
      <c r="B219" s="2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8.75" customHeight="1">
      <c r="A220" s="5" t="n"/>
      <c r="B220" s="2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8.75" customHeight="1">
      <c r="A221" s="5" t="n"/>
      <c r="B221" s="2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8.75" customHeight="1">
      <c r="A222" s="5" t="n"/>
      <c r="B222" s="2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8.75" customHeight="1">
      <c r="A223" s="5" t="n"/>
      <c r="B223" s="2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8.75" customHeight="1">
      <c r="A224" s="5" t="n"/>
      <c r="B224" s="2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8.75" customHeight="1">
      <c r="A225" s="5" t="n"/>
      <c r="B225" s="2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8.75" customHeight="1">
      <c r="A226" s="5" t="n"/>
      <c r="B226" s="2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8.75" customHeight="1">
      <c r="A227" s="5" t="n"/>
      <c r="B227" s="2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8.75" customHeight="1">
      <c r="A228" s="5" t="n"/>
      <c r="B228" s="2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8.75" customHeight="1">
      <c r="A229" s="5" t="n"/>
      <c r="B229" s="2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8.75" customHeight="1">
      <c r="A230" s="5" t="n"/>
      <c r="B230" s="2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8.75" customHeight="1">
      <c r="A231" s="5" t="n"/>
      <c r="B231" s="2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8.75" customHeight="1">
      <c r="A232" s="5" t="n"/>
      <c r="B232" s="2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8.75" customHeight="1">
      <c r="A233" s="5" t="n"/>
      <c r="B233" s="2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8.75" customHeight="1">
      <c r="A234" s="5" t="n"/>
      <c r="B234" s="2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8.75" customHeight="1">
      <c r="A235" s="5" t="n"/>
      <c r="B235" s="2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8.75" customHeight="1">
      <c r="A236" s="5" t="n"/>
      <c r="B236" s="2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8.75" customHeight="1">
      <c r="A237" s="5" t="n"/>
      <c r="B237" s="2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8.75" customHeight="1">
      <c r="A238" s="5" t="n"/>
      <c r="B238" s="2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8.75" customHeight="1">
      <c r="A239" s="5" t="n"/>
      <c r="B239" s="2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8.75" customHeight="1">
      <c r="A240" s="5" t="n"/>
      <c r="B240" s="2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8.75" customHeight="1">
      <c r="A241" s="5" t="n"/>
      <c r="B241" s="2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8.75" customHeight="1">
      <c r="A242" s="5" t="n"/>
      <c r="B242" s="2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8.75" customHeight="1">
      <c r="A243" s="5" t="n"/>
      <c r="B243" s="2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8.75" customHeight="1">
      <c r="A244" s="5" t="n"/>
      <c r="B244" s="2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8.75" customHeight="1">
      <c r="A245" s="5" t="n"/>
      <c r="B245" s="2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8.75" customHeight="1">
      <c r="A246" s="5" t="n"/>
      <c r="B246" s="2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8.75" customHeight="1">
      <c r="A247" s="5" t="n"/>
      <c r="B247" s="2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8.75" customHeight="1">
      <c r="A248" s="5" t="n"/>
      <c r="B248" s="2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8.75" customHeight="1">
      <c r="A249" s="5" t="n"/>
      <c r="B249" s="2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8.75" customHeight="1">
      <c r="A250" s="5" t="n"/>
      <c r="B250" s="2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8.75" customHeight="1">
      <c r="A251" s="5" t="n"/>
      <c r="B251" s="2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8.75" customHeight="1">
      <c r="A252" s="5" t="n"/>
      <c r="B252" s="2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8.75" customHeight="1">
      <c r="A253" s="5" t="n"/>
      <c r="B253" s="2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8.75" customHeight="1">
      <c r="A254" s="5" t="n"/>
      <c r="B254" s="2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8.75" customHeight="1">
      <c r="A255" s="5" t="n"/>
      <c r="B255" s="2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8.75" customHeight="1">
      <c r="A256" s="5" t="n"/>
      <c r="B256" s="2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8.75" customHeight="1">
      <c r="A257" s="5" t="n"/>
      <c r="B257" s="2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8.75" customHeight="1">
      <c r="A258" s="5" t="n"/>
      <c r="B258" s="2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8.75" customHeight="1">
      <c r="A259" s="5" t="n"/>
      <c r="B259" s="2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8.75" customHeight="1">
      <c r="A260" s="5" t="n"/>
      <c r="B260" s="2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8.75" customHeight="1">
      <c r="A261" s="5" t="n"/>
      <c r="B261" s="2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8.75" customHeight="1">
      <c r="A262" s="5" t="n"/>
      <c r="B262" s="2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8.75" customHeight="1">
      <c r="A263" s="5" t="n"/>
      <c r="B263" s="2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8.75" customHeight="1">
      <c r="A264" s="5" t="n"/>
      <c r="B264" s="2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8.75" customHeight="1">
      <c r="A265" s="5" t="n"/>
      <c r="B265" s="2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8.75" customHeight="1">
      <c r="A266" s="5" t="n"/>
      <c r="B266" s="2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8.75" customHeight="1">
      <c r="A267" s="5" t="n"/>
      <c r="B267" s="2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8.75" customHeight="1">
      <c r="A268" s="5" t="n"/>
      <c r="B268" s="2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8.75" customHeight="1">
      <c r="A269" s="5" t="n"/>
      <c r="B269" s="2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8.75" customHeight="1">
      <c r="A270" s="5" t="n"/>
      <c r="B270" s="2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8.75" customHeight="1">
      <c r="A271" s="5" t="n"/>
      <c r="B271" s="2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8.75" customHeight="1">
      <c r="A272" s="5" t="n"/>
      <c r="B272" s="2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8.75" customHeight="1">
      <c r="A273" s="5" t="n"/>
      <c r="B273" s="2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8.75" customHeight="1">
      <c r="A274" s="5" t="n"/>
      <c r="B274" s="2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8.75" customHeight="1">
      <c r="A275" s="5" t="n"/>
      <c r="B275" s="2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8.75" customHeight="1">
      <c r="A276" s="5" t="n"/>
      <c r="B276" s="2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8.75" customHeight="1">
      <c r="A277" s="5" t="n"/>
      <c r="B277" s="2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8.75" customHeight="1">
      <c r="A278" s="5" t="n"/>
      <c r="B278" s="2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8.75" customHeight="1">
      <c r="A279" s="5" t="n"/>
      <c r="B279" s="2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8.75" customHeight="1">
      <c r="A280" s="5" t="n"/>
      <c r="B280" s="2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8.75" customHeight="1">
      <c r="A281" s="5" t="n"/>
      <c r="B281" s="2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8.75" customHeight="1">
      <c r="A282" s="5" t="n"/>
      <c r="B282" s="2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8.75" customHeight="1">
      <c r="A283" s="5" t="n"/>
      <c r="B283" s="2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8.75" customHeight="1">
      <c r="A284" s="5" t="n"/>
      <c r="B284" s="2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8.75" customHeight="1">
      <c r="A285" s="5" t="n"/>
      <c r="B285" s="2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8.75" customHeight="1">
      <c r="A286" s="5" t="n"/>
      <c r="B286" s="2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8.75" customHeight="1">
      <c r="A287" s="5" t="n"/>
      <c r="B287" s="2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8.75" customHeight="1">
      <c r="A288" s="5" t="n"/>
      <c r="B288" s="2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8.75" customHeight="1">
      <c r="A289" s="5" t="n"/>
      <c r="B289" s="2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8.75" customHeight="1">
      <c r="A290" s="5" t="n"/>
      <c r="B290" s="2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8.75" customHeight="1">
      <c r="A291" s="5" t="n"/>
      <c r="B291" s="2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8.75" customHeight="1">
      <c r="A292" s="5" t="n"/>
      <c r="B292" s="2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8.75" customHeight="1">
      <c r="A293" s="5" t="n"/>
      <c r="B293" s="2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8.75" customHeight="1">
      <c r="A294" s="5" t="n"/>
      <c r="B294" s="2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8.75" customHeight="1">
      <c r="A295" s="5" t="n"/>
      <c r="B295" s="2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8.75" customHeight="1">
      <c r="A296" s="5" t="n"/>
      <c r="B296" s="2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8.75" customHeight="1">
      <c r="A297" s="5" t="n"/>
      <c r="B297" s="2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8.75" customHeight="1">
      <c r="A298" s="5" t="n"/>
      <c r="B298" s="2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8.75" customHeight="1">
      <c r="A299" s="5" t="n"/>
      <c r="B299" s="2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8.75" customHeight="1">
      <c r="A300" s="5" t="n"/>
      <c r="B300" s="2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8.75" customHeight="1">
      <c r="A301" s="5" t="n"/>
      <c r="B301" s="2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8.75" customHeight="1">
      <c r="A302" s="5" t="n"/>
      <c r="B302" s="2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8.75" customHeight="1">
      <c r="A303" s="5" t="n"/>
      <c r="B303" s="2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8.75" customHeight="1">
      <c r="A304" s="5" t="n"/>
      <c r="B304" s="2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8.75" customHeight="1">
      <c r="A305" s="5" t="n"/>
      <c r="B305" s="2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8.75" customHeight="1">
      <c r="A306" s="5" t="n"/>
      <c r="B306" s="2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8.75" customHeight="1">
      <c r="A307" s="5" t="n"/>
      <c r="B307" s="2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8.75" customHeight="1">
      <c r="A308" s="5" t="n"/>
      <c r="B308" s="2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8.75" customHeight="1">
      <c r="A309" s="5" t="n"/>
      <c r="B309" s="2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8.75" customHeight="1">
      <c r="A310" s="5" t="n"/>
      <c r="B310" s="2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8.75" customHeight="1">
      <c r="A311" s="5" t="n"/>
      <c r="B311" s="2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8.75" customHeight="1">
      <c r="A312" s="5" t="n"/>
      <c r="B312" s="2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8.75" customHeight="1">
      <c r="A313" s="5" t="n"/>
      <c r="B313" s="2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8.75" customHeight="1">
      <c r="A314" s="5" t="n"/>
      <c r="B314" s="2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8.75" customHeight="1">
      <c r="A315" s="5" t="n"/>
      <c r="B315" s="2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8.75" customHeight="1">
      <c r="A316" s="5" t="n"/>
      <c r="B316" s="2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8.75" customHeight="1">
      <c r="A317" s="5" t="n"/>
      <c r="B317" s="2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8.75" customHeight="1">
      <c r="A318" s="5" t="n"/>
      <c r="B318" s="2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8.75" customHeight="1">
      <c r="A319" s="5" t="n"/>
      <c r="B319" s="2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8.75" customHeight="1">
      <c r="A320" s="5" t="n"/>
      <c r="B320" s="2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8.75" customHeight="1">
      <c r="A321" s="5" t="n"/>
      <c r="B321" s="2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8.75" customHeight="1">
      <c r="A322" s="5" t="n"/>
      <c r="B322" s="2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8.75" customHeight="1">
      <c r="A323" s="5" t="n"/>
      <c r="B323" s="2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8.75" customHeight="1">
      <c r="A324" s="5" t="n"/>
      <c r="B324" s="2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8.75" customHeight="1">
      <c r="A325" s="5" t="n"/>
      <c r="B325" s="2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8.75" customHeight="1">
      <c r="A326" s="5" t="n"/>
      <c r="B326" s="2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8.75" customHeight="1">
      <c r="A327" s="5" t="n"/>
      <c r="B327" s="2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8.75" customHeight="1">
      <c r="A328" s="5" t="n"/>
      <c r="B328" s="2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8.75" customHeight="1">
      <c r="A329" s="5" t="n"/>
      <c r="B329" s="2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8.75" customHeight="1">
      <c r="A330" s="5" t="n"/>
      <c r="B330" s="2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8.75" customHeight="1">
      <c r="A331" s="5" t="n"/>
      <c r="B331" s="2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8.75" customHeight="1">
      <c r="A332" s="5" t="n"/>
      <c r="B332" s="2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8.75" customHeight="1">
      <c r="A333" s="5" t="n"/>
      <c r="B333" s="2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8.75" customHeight="1">
      <c r="A334" s="5" t="n"/>
      <c r="B334" s="2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8.75" customHeight="1">
      <c r="A335" s="5" t="n"/>
      <c r="B335" s="2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8.75" customHeight="1">
      <c r="A336" s="5" t="n"/>
      <c r="B336" s="2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8.75" customHeight="1">
      <c r="A337" s="5" t="n"/>
      <c r="B337" s="2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8.75" customHeight="1">
      <c r="A338" s="5" t="n"/>
      <c r="B338" s="2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8.75" customHeight="1">
      <c r="A339" s="5" t="n"/>
      <c r="B339" s="2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8.75" customHeight="1">
      <c r="A340" s="5" t="n"/>
      <c r="B340" s="2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8.75" customHeight="1">
      <c r="A341" s="5" t="n"/>
      <c r="B341" s="2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8.75" customHeight="1">
      <c r="A342" s="5" t="n"/>
      <c r="B342" s="2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8.75" customHeight="1">
      <c r="A343" s="5" t="n"/>
      <c r="B343" s="2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8.75" customHeight="1">
      <c r="A344" s="5" t="n"/>
      <c r="B344" s="2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8.75" customHeight="1">
      <c r="A345" s="5" t="n"/>
      <c r="B345" s="2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8.75" customHeight="1">
      <c r="A346" s="5" t="n"/>
      <c r="B346" s="2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8.75" customHeight="1">
      <c r="A347" s="5" t="n"/>
      <c r="B347" s="2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8.75" customHeight="1">
      <c r="A348" s="5" t="n"/>
      <c r="B348" s="2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8.75" customHeight="1">
      <c r="A349" s="5" t="n"/>
      <c r="B349" s="2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8.75" customHeight="1">
      <c r="A350" s="5" t="n"/>
      <c r="B350" s="2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8.75" customHeight="1">
      <c r="A351" s="5" t="n"/>
      <c r="B351" s="2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8.75" customHeight="1">
      <c r="A352" s="5" t="n"/>
      <c r="B352" s="2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8.75" customHeight="1">
      <c r="A353" s="5" t="n"/>
      <c r="B353" s="2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8.75" customHeight="1">
      <c r="A354" s="5" t="n"/>
      <c r="B354" s="2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8.75" customHeight="1">
      <c r="A355" s="5" t="n"/>
      <c r="B355" s="2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8.75" customHeight="1">
      <c r="A356" s="5" t="n"/>
      <c r="B356" s="2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8.75" customHeight="1">
      <c r="A357" s="5" t="n"/>
      <c r="B357" s="2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8.75" customHeight="1">
      <c r="A358" s="5" t="n"/>
      <c r="B358" s="2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8.75" customHeight="1">
      <c r="A359" s="5" t="n"/>
      <c r="B359" s="2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8.75" customHeight="1">
      <c r="A360" s="5" t="n"/>
      <c r="B360" s="2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8.75" customHeight="1">
      <c r="A361" s="5" t="n"/>
      <c r="B361" s="2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8.75" customHeight="1">
      <c r="A362" s="5" t="n"/>
      <c r="B362" s="2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8.75" customHeight="1">
      <c r="A363" s="5" t="n"/>
      <c r="B363" s="2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8.75" customHeight="1">
      <c r="A364" s="5" t="n"/>
      <c r="B364" s="2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8.75" customHeight="1">
      <c r="A365" s="5" t="n"/>
      <c r="B365" s="2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8.75" customHeight="1">
      <c r="A366" s="5" t="n"/>
      <c r="B366" s="2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8.75" customHeight="1">
      <c r="A367" s="5" t="n"/>
      <c r="B367" s="2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8.75" customHeight="1">
      <c r="A368" s="5" t="n"/>
      <c r="B368" s="2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8.75" customHeight="1">
      <c r="A369" s="5" t="n"/>
      <c r="B369" s="2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8.75" customHeight="1">
      <c r="A370" s="5" t="n"/>
      <c r="B370" s="2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8.75" customHeight="1">
      <c r="A371" s="5" t="n"/>
      <c r="B371" s="2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8.75" customHeight="1">
      <c r="A372" s="5" t="n"/>
      <c r="B372" s="2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8.75" customHeight="1">
      <c r="A373" s="5" t="n"/>
      <c r="B373" s="2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8.75" customHeight="1">
      <c r="A374" s="5" t="n"/>
      <c r="B374" s="2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8.75" customHeight="1">
      <c r="A375" s="5" t="n"/>
      <c r="B375" s="2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8.75" customHeight="1">
      <c r="A376" s="5" t="n"/>
      <c r="B376" s="2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8.75" customHeight="1">
      <c r="A377" s="5" t="n"/>
      <c r="B377" s="2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8.75" customHeight="1">
      <c r="A378" s="5" t="n"/>
      <c r="B378" s="2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8.75" customHeight="1">
      <c r="A379" s="5" t="n"/>
      <c r="B379" s="2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8.75" customHeight="1">
      <c r="A380" s="5" t="n"/>
      <c r="B380" s="2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8.75" customHeight="1">
      <c r="A381" s="5" t="n"/>
      <c r="B381" s="2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8.75" customHeight="1">
      <c r="A382" s="5" t="n"/>
      <c r="B382" s="2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8.75" customHeight="1">
      <c r="A383" s="5" t="n"/>
      <c r="B383" s="2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8.75" customHeight="1">
      <c r="A384" s="5" t="n"/>
      <c r="B384" s="2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8.75" customHeight="1">
      <c r="A385" s="5" t="n"/>
      <c r="B385" s="2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8.75" customHeight="1">
      <c r="A386" s="5" t="n"/>
      <c r="B386" s="2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8.75" customHeight="1">
      <c r="A387" s="5" t="n"/>
      <c r="B387" s="2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8.75" customHeight="1">
      <c r="A388" s="5" t="n"/>
      <c r="B388" s="2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8.75" customHeight="1">
      <c r="A389" s="5" t="n"/>
      <c r="B389" s="2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8.75" customHeight="1">
      <c r="A390" s="5" t="n"/>
      <c r="B390" s="2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8.75" customHeight="1">
      <c r="A391" s="5" t="n"/>
      <c r="B391" s="2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8.75" customHeight="1">
      <c r="A392" s="5" t="n"/>
      <c r="B392" s="2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8.75" customHeight="1">
      <c r="A393" s="5" t="n"/>
      <c r="B393" s="2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8.75" customHeight="1">
      <c r="A394" s="5" t="n"/>
      <c r="B394" s="2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8.75" customHeight="1">
      <c r="A395" s="5" t="n"/>
      <c r="B395" s="2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8.75" customHeight="1">
      <c r="A396" s="5" t="n"/>
      <c r="B396" s="2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8.75" customHeight="1">
      <c r="A397" s="5" t="n"/>
      <c r="B397" s="2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8.75" customHeight="1">
      <c r="A398" s="5" t="n"/>
      <c r="B398" s="2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8.75" customHeight="1">
      <c r="A399" s="5" t="n"/>
      <c r="B399" s="2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8.75" customHeight="1">
      <c r="A400" s="5" t="n"/>
      <c r="B400" s="2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8.75" customHeight="1">
      <c r="A401" s="5" t="n"/>
      <c r="B401" s="2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8.75" customHeight="1">
      <c r="A402" s="5" t="n"/>
      <c r="B402" s="2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8.75" customHeight="1">
      <c r="A403" s="5" t="n"/>
      <c r="B403" s="2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8.75" customHeight="1">
      <c r="A404" s="5" t="n"/>
      <c r="B404" s="2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8.75" customHeight="1">
      <c r="A405" s="5" t="n"/>
      <c r="B405" s="2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8.75" customHeight="1">
      <c r="A406" s="5" t="n"/>
      <c r="B406" s="2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8.75" customHeight="1">
      <c r="A407" s="5" t="n"/>
      <c r="B407" s="2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8.75" customHeight="1">
      <c r="A408" s="5" t="n"/>
      <c r="B408" s="2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8.75" customHeight="1">
      <c r="A409" s="5" t="n"/>
      <c r="B409" s="2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8.75" customHeight="1">
      <c r="A410" s="5" t="n"/>
      <c r="B410" s="2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8.75" customHeight="1">
      <c r="A411" s="5" t="n"/>
      <c r="B411" s="2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8.75" customHeight="1">
      <c r="A412" s="5" t="n"/>
      <c r="B412" s="2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8.75" customHeight="1">
      <c r="A413" s="5" t="n"/>
      <c r="B413" s="2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8.75" customHeight="1">
      <c r="A414" s="5" t="n"/>
      <c r="B414" s="2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8.75" customHeight="1">
      <c r="A415" s="5" t="n"/>
      <c r="B415" s="2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8.75" customHeight="1">
      <c r="A416" s="5" t="n"/>
      <c r="B416" s="2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8.75" customHeight="1">
      <c r="A417" s="5" t="n"/>
      <c r="B417" s="2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8.75" customHeight="1">
      <c r="A418" s="5" t="n"/>
      <c r="B418" s="2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8.75" customHeight="1">
      <c r="A419" s="5" t="n"/>
      <c r="B419" s="2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8.75" customHeight="1">
      <c r="A420" s="5" t="n"/>
      <c r="B420" s="2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8.75" customHeight="1">
      <c r="A421" s="5" t="n"/>
      <c r="B421" s="2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8.75" customHeight="1">
      <c r="A422" s="5" t="n"/>
      <c r="B422" s="2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8.75" customHeight="1">
      <c r="A423" s="5" t="n"/>
      <c r="B423" s="2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8.75" customHeight="1">
      <c r="A424" s="5" t="n"/>
      <c r="B424" s="2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8.75" customHeight="1">
      <c r="A425" s="5" t="n"/>
      <c r="B425" s="2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8.75" customHeight="1">
      <c r="A426" s="5" t="n"/>
      <c r="B426" s="2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8.75" customHeight="1">
      <c r="A427" s="5" t="n"/>
      <c r="B427" s="2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8.75" customHeight="1">
      <c r="A428" s="5" t="n"/>
      <c r="B428" s="2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8.75" customHeight="1">
      <c r="A429" s="5" t="n"/>
      <c r="B429" s="2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8.75" customHeight="1">
      <c r="A430" s="5" t="n"/>
      <c r="B430" s="2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8.75" customHeight="1">
      <c r="A431" s="5" t="n"/>
      <c r="B431" s="2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8.75" customHeight="1">
      <c r="A432" s="5" t="n"/>
      <c r="B432" s="2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8.75" customHeight="1">
      <c r="A433" s="5" t="n"/>
      <c r="B433" s="2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8.75" customHeight="1">
      <c r="A434" s="5" t="n"/>
      <c r="B434" s="2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8.75" customHeight="1">
      <c r="A435" s="5" t="n"/>
      <c r="B435" s="2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8.75" customHeight="1">
      <c r="A436" s="5" t="n"/>
      <c r="B436" s="2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8.75" customHeight="1">
      <c r="A437" s="5" t="n"/>
      <c r="B437" s="2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8.75" customHeight="1">
      <c r="A438" s="5" t="n"/>
      <c r="B438" s="2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8.75" customHeight="1">
      <c r="A439" s="5" t="n"/>
      <c r="B439" s="2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8.75" customHeight="1">
      <c r="A440" s="5" t="n"/>
      <c r="B440" s="2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8.75" customHeight="1">
      <c r="A441" s="5" t="n"/>
      <c r="B441" s="2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8.75" customHeight="1">
      <c r="A442" s="5" t="n"/>
      <c r="B442" s="2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8.75" customHeight="1">
      <c r="A443" s="5" t="n"/>
      <c r="B443" s="2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8.75" customHeight="1">
      <c r="A444" s="5" t="n"/>
      <c r="B444" s="2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8.75" customHeight="1">
      <c r="A445" s="5" t="n"/>
      <c r="B445" s="2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8.75" customHeight="1">
      <c r="A446" s="5" t="n"/>
      <c r="B446" s="2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8.75" customHeight="1">
      <c r="A447" s="5" t="n"/>
      <c r="B447" s="2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8.75" customHeight="1">
      <c r="A448" s="5" t="n"/>
      <c r="B448" s="2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8.75" customHeight="1">
      <c r="A449" s="5" t="n"/>
      <c r="B449" s="2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8.75" customHeight="1">
      <c r="A450" s="5" t="n"/>
      <c r="B450" s="2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8.75" customHeight="1">
      <c r="A451" s="5" t="n"/>
      <c r="B451" s="2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8.75" customHeight="1">
      <c r="A452" s="5" t="n"/>
      <c r="B452" s="2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8.75" customHeight="1">
      <c r="A453" s="5" t="n"/>
      <c r="B453" s="2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8.75" customHeight="1">
      <c r="A454" s="5" t="n"/>
      <c r="B454" s="2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8.75" customHeight="1">
      <c r="A455" s="5" t="n"/>
      <c r="B455" s="2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8.75" customHeight="1">
      <c r="A456" s="5" t="n"/>
      <c r="B456" s="2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8.75" customHeight="1">
      <c r="A457" s="5" t="n"/>
      <c r="B457" s="2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8.75" customHeight="1">
      <c r="A458" s="5" t="n"/>
      <c r="B458" s="2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8.75" customHeight="1">
      <c r="A459" s="5" t="n"/>
      <c r="B459" s="2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8.75" customHeight="1">
      <c r="A460" s="5" t="n"/>
      <c r="B460" s="2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8.75" customHeight="1">
      <c r="A461" s="5" t="n"/>
      <c r="B461" s="2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8.75" customHeight="1">
      <c r="A462" s="5" t="n"/>
      <c r="B462" s="2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8.75" customHeight="1">
      <c r="A463" s="5" t="n"/>
      <c r="B463" s="2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8.75" customHeight="1">
      <c r="A464" s="5" t="n"/>
      <c r="B464" s="2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8.75" customHeight="1">
      <c r="A465" s="5" t="n"/>
      <c r="B465" s="2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8.75" customHeight="1">
      <c r="A466" s="5" t="n"/>
      <c r="B466" s="2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8.75" customHeight="1">
      <c r="A467" s="5" t="n"/>
      <c r="B467" s="2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8.75" customHeight="1">
      <c r="A468" s="5" t="n"/>
      <c r="B468" s="2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8.75" customHeight="1">
      <c r="A469" s="5" t="n"/>
      <c r="B469" s="2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8.75" customHeight="1">
      <c r="A470" s="5" t="n"/>
      <c r="B470" s="2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8.75" customHeight="1">
      <c r="A471" s="5" t="n"/>
      <c r="B471" s="2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8.75" customHeight="1">
      <c r="A472" s="5" t="n"/>
      <c r="B472" s="2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8.75" customHeight="1">
      <c r="A473" s="5" t="n"/>
      <c r="B473" s="2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8.75" customHeight="1">
      <c r="A474" s="5" t="n"/>
      <c r="B474" s="2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8.75" customHeight="1">
      <c r="A475" s="5" t="n"/>
      <c r="B475" s="2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8.75" customHeight="1">
      <c r="A476" s="5" t="n"/>
      <c r="B476" s="2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8.75" customHeight="1">
      <c r="A477" s="5" t="n"/>
      <c r="B477" s="2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8.75" customHeight="1">
      <c r="A478" s="5" t="n"/>
      <c r="B478" s="2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8.75" customHeight="1">
      <c r="A479" s="5" t="n"/>
      <c r="B479" s="2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8.75" customHeight="1">
      <c r="A480" s="5" t="n"/>
      <c r="B480" s="2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8.75" customHeight="1">
      <c r="A481" s="5" t="n"/>
      <c r="B481" s="2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8.75" customHeight="1">
      <c r="A482" s="5" t="n"/>
      <c r="B482" s="2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8.75" customHeight="1">
      <c r="A483" s="5" t="n"/>
      <c r="B483" s="2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8.75" customHeight="1">
      <c r="A484" s="5" t="n"/>
      <c r="B484" s="2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8.75" customHeight="1">
      <c r="A485" s="5" t="n"/>
      <c r="B485" s="2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8.75" customHeight="1">
      <c r="A486" s="5" t="n"/>
      <c r="B486" s="2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8.75" customHeight="1">
      <c r="A487" s="5" t="n"/>
      <c r="B487" s="2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8.75" customHeight="1">
      <c r="A488" s="5" t="n"/>
      <c r="B488" s="2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8.75" customHeight="1">
      <c r="A489" s="5" t="n"/>
      <c r="B489" s="2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8.75" customHeight="1">
      <c r="A490" s="5" t="n"/>
      <c r="B490" s="2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8.75" customHeight="1">
      <c r="A491" s="5" t="n"/>
      <c r="B491" s="2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8.75" customHeight="1">
      <c r="A492" s="5" t="n"/>
      <c r="B492" s="2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8.75" customHeight="1">
      <c r="A493" s="5" t="n"/>
      <c r="B493" s="2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8.75" customHeight="1">
      <c r="A494" s="5" t="n"/>
      <c r="B494" s="2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8.75" customHeight="1">
      <c r="A495" s="5" t="n"/>
      <c r="B495" s="2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8.75" customHeight="1">
      <c r="A496" s="5" t="n"/>
      <c r="B496" s="2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8.75" customHeight="1">
      <c r="A497" s="5" t="n"/>
      <c r="B497" s="2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8.75" customHeight="1">
      <c r="A498" s="5" t="n"/>
      <c r="B498" s="2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8.75" customHeight="1">
      <c r="A499" s="5" t="n"/>
      <c r="B499" s="2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8.75" customHeight="1">
      <c r="A500" s="5" t="n"/>
      <c r="B500" s="2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8.75" customHeight="1">
      <c r="A501" s="5" t="n"/>
      <c r="B501" s="2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8.75" customHeight="1">
      <c r="A502" s="5" t="n"/>
      <c r="B502" s="2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8.75" customHeight="1">
      <c r="A503" s="5" t="n"/>
      <c r="B503" s="2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8.75" customHeight="1">
      <c r="A504" s="5" t="n"/>
      <c r="B504" s="2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8.75" customHeight="1">
      <c r="A505" s="5" t="n"/>
      <c r="B505" s="2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8.75" customHeight="1">
      <c r="A506" s="5" t="n"/>
      <c r="B506" s="2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8.75" customHeight="1">
      <c r="A507" s="5" t="n"/>
      <c r="B507" s="2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8.75" customHeight="1">
      <c r="A508" s="5" t="n"/>
      <c r="B508" s="2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8.75" customHeight="1">
      <c r="A509" s="5" t="n"/>
      <c r="B509" s="2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8.75" customHeight="1">
      <c r="A510" s="5" t="n"/>
      <c r="B510" s="2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8.75" customHeight="1">
      <c r="A511" s="5" t="n"/>
      <c r="B511" s="2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8.75" customHeight="1">
      <c r="A512" s="5" t="n"/>
      <c r="B512" s="2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8.75" customHeight="1">
      <c r="A513" s="5" t="n"/>
      <c r="B513" s="2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8.75" customHeight="1">
      <c r="A514" s="5" t="n"/>
      <c r="B514" s="2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8.75" customHeight="1">
      <c r="A515" s="5" t="n"/>
      <c r="B515" s="2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8.75" customHeight="1">
      <c r="A516" s="5" t="n"/>
      <c r="B516" s="2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8.75" customHeight="1">
      <c r="A517" s="5" t="n"/>
      <c r="B517" s="2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8.75" customHeight="1">
      <c r="A518" s="5" t="n"/>
      <c r="B518" s="2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8.75" customHeight="1">
      <c r="A519" s="5" t="n"/>
      <c r="B519" s="2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8.75" customHeight="1">
      <c r="A520" s="5" t="n"/>
      <c r="B520" s="2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8.75" customHeight="1">
      <c r="A521" s="5" t="n"/>
      <c r="B521" s="2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8.75" customHeight="1">
      <c r="A522" s="5" t="n"/>
      <c r="B522" s="2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8.75" customHeight="1">
      <c r="A523" s="5" t="n"/>
      <c r="B523" s="2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8.75" customHeight="1">
      <c r="A524" s="5" t="n"/>
      <c r="B524" s="2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8.75" customHeight="1">
      <c r="A525" s="5" t="n"/>
      <c r="B525" s="2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8.75" customHeight="1">
      <c r="A526" s="5" t="n"/>
      <c r="B526" s="2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8.75" customHeight="1">
      <c r="A527" s="5" t="n"/>
      <c r="B527" s="2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8.75" customHeight="1">
      <c r="A528" s="5" t="n"/>
      <c r="B528" s="2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8.75" customHeight="1">
      <c r="A529" s="5" t="n"/>
      <c r="B529" s="2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8.75" customHeight="1">
      <c r="A530" s="5" t="n"/>
      <c r="B530" s="2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8.75" customHeight="1">
      <c r="A531" s="5" t="n"/>
      <c r="B531" s="2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8.75" customHeight="1">
      <c r="A532" s="5" t="n"/>
      <c r="B532" s="2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8.75" customHeight="1">
      <c r="A533" s="5" t="n"/>
      <c r="B533" s="2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8.75" customHeight="1">
      <c r="A534" s="5" t="n"/>
      <c r="B534" s="2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8.75" customHeight="1">
      <c r="A535" s="5" t="n"/>
      <c r="B535" s="2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8.75" customHeight="1">
      <c r="A536" s="5" t="n"/>
      <c r="B536" s="2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8.75" customHeight="1">
      <c r="A537" s="5" t="n"/>
      <c r="B537" s="2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8.75" customHeight="1">
      <c r="A538" s="5" t="n"/>
      <c r="B538" s="2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8.75" customHeight="1">
      <c r="A539" s="5" t="n"/>
      <c r="B539" s="2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8.75" customHeight="1">
      <c r="A540" s="5" t="n"/>
      <c r="B540" s="2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8.75" customHeight="1">
      <c r="A541" s="5" t="n"/>
      <c r="B541" s="2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8.75" customHeight="1">
      <c r="A542" s="5" t="n"/>
      <c r="B542" s="2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8.75" customHeight="1">
      <c r="A543" s="5" t="n"/>
      <c r="B543" s="2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8.75" customHeight="1">
      <c r="A544" s="5" t="n"/>
      <c r="B544" s="2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8.75" customHeight="1">
      <c r="A545" s="5" t="n"/>
      <c r="B545" s="2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8.75" customHeight="1">
      <c r="A546" s="5" t="n"/>
      <c r="B546" s="2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8.75" customHeight="1">
      <c r="A547" s="5" t="n"/>
      <c r="B547" s="2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8.75" customHeight="1">
      <c r="A548" s="5" t="n"/>
      <c r="B548" s="2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8.75" customHeight="1">
      <c r="A549" s="5" t="n"/>
      <c r="B549" s="2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8.75" customHeight="1">
      <c r="A550" s="5" t="n"/>
      <c r="B550" s="2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8.75" customHeight="1">
      <c r="A551" s="5" t="n"/>
      <c r="B551" s="2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8.75" customHeight="1">
      <c r="A552" s="5" t="n"/>
      <c r="B552" s="2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8.75" customHeight="1">
      <c r="A553" s="5" t="n"/>
      <c r="B553" s="2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8.75" customHeight="1">
      <c r="A554" s="5" t="n"/>
      <c r="B554" s="2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8.75" customHeight="1">
      <c r="A555" s="5" t="n"/>
      <c r="B555" s="2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8.75" customHeight="1">
      <c r="A556" s="5" t="n"/>
      <c r="B556" s="2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8.75" customHeight="1">
      <c r="A557" s="5" t="n"/>
      <c r="B557" s="2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8.75" customHeight="1">
      <c r="A558" s="5" t="n"/>
      <c r="B558" s="2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8.75" customHeight="1">
      <c r="A559" s="5" t="n"/>
      <c r="B559" s="2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8.75" customHeight="1">
      <c r="A560" s="5" t="n"/>
      <c r="B560" s="2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8.75" customHeight="1">
      <c r="A561" s="5" t="n"/>
      <c r="B561" s="2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8.75" customHeight="1">
      <c r="A562" s="5" t="n"/>
      <c r="B562" s="2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8.75" customHeight="1">
      <c r="A563" s="5" t="n"/>
      <c r="B563" s="2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8.75" customHeight="1">
      <c r="A564" s="5" t="n"/>
      <c r="B564" s="2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8.75" customHeight="1">
      <c r="A565" s="5" t="n"/>
      <c r="B565" s="2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8.75" customHeight="1">
      <c r="A566" s="5" t="n"/>
      <c r="B566" s="2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8.75" customHeight="1">
      <c r="A567" s="5" t="n"/>
      <c r="B567" s="2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8.75" customHeight="1">
      <c r="A568" s="5" t="n"/>
      <c r="B568" s="2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8.75" customHeight="1">
      <c r="A569" s="5" t="n"/>
      <c r="B569" s="2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8.75" customHeight="1">
      <c r="A570" s="5" t="n"/>
      <c r="B570" s="2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8.75" customHeight="1">
      <c r="A571" s="5" t="n"/>
      <c r="B571" s="2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8.75" customHeight="1">
      <c r="A572" s="5" t="n"/>
      <c r="B572" s="2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8.75" customHeight="1">
      <c r="A573" s="5" t="n"/>
      <c r="B573" s="2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8.75" customHeight="1">
      <c r="A574" s="5" t="n"/>
      <c r="B574" s="2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8.75" customHeight="1">
      <c r="A575" s="5" t="n"/>
      <c r="B575" s="2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8.75" customHeight="1">
      <c r="A576" s="5" t="n"/>
      <c r="B576" s="2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8.75" customHeight="1">
      <c r="A577" s="5" t="n"/>
      <c r="B577" s="2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8.75" customHeight="1">
      <c r="A578" s="5" t="n"/>
      <c r="B578" s="2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8.75" customHeight="1">
      <c r="A579" s="5" t="n"/>
      <c r="B579" s="2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8.75" customHeight="1">
      <c r="A580" s="5" t="n"/>
      <c r="B580" s="2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8.75" customHeight="1">
      <c r="A581" s="5" t="n"/>
      <c r="B581" s="2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8.75" customHeight="1">
      <c r="A582" s="5" t="n"/>
      <c r="B582" s="2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8.75" customHeight="1">
      <c r="A583" s="5" t="n"/>
      <c r="B583" s="2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8.75" customHeight="1">
      <c r="A584" s="5" t="n"/>
      <c r="B584" s="2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8.75" customHeight="1">
      <c r="A585" s="5" t="n"/>
      <c r="B585" s="2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8.75" customHeight="1">
      <c r="A586" s="5" t="n"/>
      <c r="B586" s="2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8.75" customHeight="1">
      <c r="A587" s="5" t="n"/>
      <c r="B587" s="2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8.75" customHeight="1">
      <c r="A588" s="5" t="n"/>
      <c r="B588" s="2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8.75" customHeight="1">
      <c r="A589" s="5" t="n"/>
      <c r="B589" s="2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8.75" customHeight="1">
      <c r="A590" s="5" t="n"/>
      <c r="B590" s="2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8.75" customHeight="1">
      <c r="A591" s="5" t="n"/>
      <c r="B591" s="2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8.75" customHeight="1">
      <c r="A592" s="5" t="n"/>
      <c r="B592" s="2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8.75" customHeight="1">
      <c r="A593" s="5" t="n"/>
      <c r="B593" s="2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8.75" customHeight="1">
      <c r="A594" s="5" t="n"/>
      <c r="B594" s="2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8.75" customHeight="1">
      <c r="A595" s="5" t="n"/>
      <c r="B595" s="2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8.75" customHeight="1">
      <c r="A596" s="5" t="n"/>
      <c r="B596" s="2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8.75" customHeight="1">
      <c r="A597" s="5" t="n"/>
      <c r="B597" s="2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8.75" customHeight="1">
      <c r="A598" s="5" t="n"/>
      <c r="B598" s="2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8.75" customHeight="1">
      <c r="A599" s="5" t="n"/>
      <c r="B599" s="2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8.75" customHeight="1">
      <c r="A600" s="5" t="n"/>
      <c r="B600" s="2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8.75" customHeight="1">
      <c r="A601" s="5" t="n"/>
      <c r="B601" s="2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8.75" customHeight="1">
      <c r="A602" s="5" t="n"/>
      <c r="B602" s="2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8.75" customHeight="1">
      <c r="A603" s="5" t="n"/>
      <c r="B603" s="2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8.75" customHeight="1">
      <c r="A604" s="5" t="n"/>
      <c r="B604" s="2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8.75" customHeight="1">
      <c r="A605" s="5" t="n"/>
      <c r="B605" s="2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8.75" customHeight="1">
      <c r="A606" s="5" t="n"/>
      <c r="B606" s="2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8.75" customHeight="1">
      <c r="A607" s="5" t="n"/>
      <c r="B607" s="2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8.75" customHeight="1">
      <c r="A608" s="5" t="n"/>
      <c r="B608" s="2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8.75" customHeight="1">
      <c r="A609" s="5" t="n"/>
      <c r="B609" s="2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8.75" customHeight="1">
      <c r="A610" s="5" t="n"/>
      <c r="B610" s="2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8.75" customHeight="1">
      <c r="A611" s="5" t="n"/>
      <c r="B611" s="2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8.75" customHeight="1">
      <c r="A612" s="5" t="n"/>
      <c r="B612" s="2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8.75" customHeight="1">
      <c r="A613" s="5" t="n"/>
      <c r="B613" s="2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8.75" customHeight="1">
      <c r="A614" s="5" t="n"/>
      <c r="B614" s="2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8.75" customHeight="1">
      <c r="A615" s="5" t="n"/>
      <c r="B615" s="2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8.75" customHeight="1">
      <c r="A616" s="5" t="n"/>
      <c r="B616" s="2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8.75" customHeight="1">
      <c r="A617" s="5" t="n"/>
      <c r="B617" s="2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8.75" customHeight="1">
      <c r="A618" s="5" t="n"/>
      <c r="B618" s="2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8.75" customHeight="1">
      <c r="A619" s="5" t="n"/>
      <c r="B619" s="2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8.75" customHeight="1">
      <c r="A620" s="5" t="n"/>
      <c r="B620" s="2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8.75" customHeight="1">
      <c r="A621" s="5" t="n"/>
      <c r="B621" s="2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8.75" customHeight="1">
      <c r="A622" s="5" t="n"/>
      <c r="B622" s="2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8.75" customHeight="1">
      <c r="A623" s="5" t="n"/>
      <c r="B623" s="2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8.75" customHeight="1">
      <c r="A624" s="5" t="n"/>
      <c r="B624" s="2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8.75" customHeight="1">
      <c r="A625" s="5" t="n"/>
      <c r="B625" s="2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8.75" customHeight="1">
      <c r="A626" s="5" t="n"/>
      <c r="B626" s="2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8.75" customHeight="1">
      <c r="A627" s="5" t="n"/>
      <c r="B627" s="2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8.75" customHeight="1">
      <c r="A628" s="5" t="n"/>
      <c r="B628" s="2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8.75" customHeight="1">
      <c r="A629" s="5" t="n"/>
      <c r="B629" s="2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8.75" customHeight="1">
      <c r="A630" s="5" t="n"/>
      <c r="B630" s="2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8.75" customHeight="1">
      <c r="A631" s="5" t="n"/>
      <c r="B631" s="2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8.75" customHeight="1">
      <c r="A632" s="5" t="n"/>
      <c r="B632" s="2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8.75" customHeight="1">
      <c r="A633" s="5" t="n"/>
      <c r="B633" s="2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8.75" customHeight="1">
      <c r="A634" s="5" t="n"/>
      <c r="B634" s="2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8.75" customHeight="1">
      <c r="A635" s="5" t="n"/>
      <c r="B635" s="2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8.75" customHeight="1">
      <c r="A636" s="5" t="n"/>
      <c r="B636" s="2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8.75" customHeight="1">
      <c r="A637" s="5" t="n"/>
      <c r="B637" s="2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8.75" customHeight="1">
      <c r="A638" s="5" t="n"/>
      <c r="B638" s="2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8.75" customHeight="1">
      <c r="A639" s="5" t="n"/>
      <c r="B639" s="2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8.75" customHeight="1">
      <c r="A640" s="5" t="n"/>
      <c r="B640" s="2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8.75" customHeight="1">
      <c r="A641" s="5" t="n"/>
      <c r="B641" s="2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8.75" customHeight="1">
      <c r="A642" s="5" t="n"/>
      <c r="B642" s="2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8.75" customHeight="1">
      <c r="A643" s="5" t="n"/>
      <c r="B643" s="2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8.75" customHeight="1">
      <c r="A644" s="5" t="n"/>
      <c r="B644" s="2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8.75" customHeight="1">
      <c r="A645" s="5" t="n"/>
      <c r="B645" s="2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8.75" customHeight="1">
      <c r="A646" s="5" t="n"/>
      <c r="B646" s="2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8.75" customHeight="1">
      <c r="A647" s="5" t="n"/>
      <c r="B647" s="2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8.75" customHeight="1">
      <c r="A648" s="5" t="n"/>
      <c r="B648" s="2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8.75" customHeight="1">
      <c r="A649" s="5" t="n"/>
      <c r="B649" s="2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8.75" customHeight="1">
      <c r="A650" s="5" t="n"/>
      <c r="B650" s="2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8.75" customHeight="1">
      <c r="A651" s="5" t="n"/>
      <c r="B651" s="2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8.75" customHeight="1">
      <c r="A652" s="5" t="n"/>
      <c r="B652" s="2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8.75" customHeight="1">
      <c r="A653" s="5" t="n"/>
      <c r="B653" s="2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8.75" customHeight="1">
      <c r="A654" s="5" t="n"/>
      <c r="B654" s="2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8.75" customHeight="1">
      <c r="A655" s="5" t="n"/>
      <c r="B655" s="2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8.75" customHeight="1">
      <c r="A656" s="5" t="n"/>
      <c r="B656" s="2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8.75" customHeight="1">
      <c r="A657" s="5" t="n"/>
      <c r="B657" s="2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8.75" customHeight="1">
      <c r="A658" s="5" t="n"/>
      <c r="B658" s="2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8.75" customHeight="1">
      <c r="A659" s="5" t="n"/>
      <c r="B659" s="2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8.75" customHeight="1">
      <c r="A660" s="5" t="n"/>
      <c r="B660" s="2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8.75" customHeight="1">
      <c r="A661" s="5" t="n"/>
      <c r="B661" s="2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8.75" customHeight="1">
      <c r="A662" s="5" t="n"/>
      <c r="B662" s="2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8.75" customHeight="1">
      <c r="A663" s="5" t="n"/>
      <c r="B663" s="2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8.75" customHeight="1">
      <c r="A664" s="5" t="n"/>
      <c r="B664" s="2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8.75" customHeight="1">
      <c r="A665" s="5" t="n"/>
      <c r="B665" s="2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8.75" customHeight="1">
      <c r="A666" s="5" t="n"/>
      <c r="B666" s="2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8.75" customHeight="1">
      <c r="A667" s="5" t="n"/>
      <c r="B667" s="2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8.75" customHeight="1">
      <c r="A668" s="5" t="n"/>
      <c r="B668" s="2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8.75" customHeight="1">
      <c r="A669" s="5" t="n"/>
      <c r="B669" s="2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8.75" customHeight="1">
      <c r="A670" s="5" t="n"/>
      <c r="B670" s="2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8.75" customHeight="1">
      <c r="A671" s="5" t="n"/>
      <c r="B671" s="2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8.75" customHeight="1">
      <c r="A672" s="5" t="n"/>
      <c r="B672" s="2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8.75" customHeight="1">
      <c r="A673" s="5" t="n"/>
      <c r="B673" s="2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8.75" customHeight="1">
      <c r="A674" s="5" t="n"/>
      <c r="B674" s="2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8.75" customHeight="1">
      <c r="A675" s="5" t="n"/>
      <c r="B675" s="2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8.75" customHeight="1">
      <c r="A676" s="5" t="n"/>
      <c r="B676" s="2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8.75" customHeight="1">
      <c r="A677" s="5" t="n"/>
      <c r="B677" s="2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8.75" customHeight="1">
      <c r="A678" s="5" t="n"/>
      <c r="B678" s="2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8.75" customHeight="1">
      <c r="A679" s="5" t="n"/>
      <c r="B679" s="2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8.75" customHeight="1">
      <c r="A680" s="5" t="n"/>
      <c r="B680" s="2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8.75" customHeight="1">
      <c r="A681" s="5" t="n"/>
      <c r="B681" s="2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8.75" customHeight="1">
      <c r="A682" s="5" t="n"/>
      <c r="B682" s="2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8.75" customHeight="1">
      <c r="A683" s="5" t="n"/>
      <c r="B683" s="2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8.75" customHeight="1">
      <c r="A684" s="5" t="n"/>
      <c r="B684" s="2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8.75" customHeight="1">
      <c r="A685" s="5" t="n"/>
      <c r="B685" s="2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8.75" customHeight="1">
      <c r="A686" s="5" t="n"/>
      <c r="B686" s="2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8.75" customHeight="1">
      <c r="A687" s="5" t="n"/>
      <c r="B687" s="2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8.75" customHeight="1">
      <c r="A688" s="5" t="n"/>
      <c r="B688" s="2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8.75" customHeight="1">
      <c r="A689" s="5" t="n"/>
      <c r="B689" s="2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8.75" customHeight="1">
      <c r="A690" s="5" t="n"/>
      <c r="B690" s="2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8.75" customHeight="1">
      <c r="A691" s="5" t="n"/>
      <c r="B691" s="2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8.75" customHeight="1">
      <c r="A692" s="5" t="n"/>
      <c r="B692" s="2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8.75" customHeight="1">
      <c r="A693" s="5" t="n"/>
      <c r="B693" s="2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8.75" customHeight="1">
      <c r="A694" s="5" t="n"/>
      <c r="B694" s="2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8.75" customHeight="1">
      <c r="A695" s="5" t="n"/>
      <c r="B695" s="2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8.75" customHeight="1">
      <c r="A696" s="5" t="n"/>
      <c r="B696" s="2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8.75" customHeight="1">
      <c r="A697" s="5" t="n"/>
      <c r="B697" s="2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8.75" customHeight="1">
      <c r="A698" s="5" t="n"/>
      <c r="B698" s="2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8.75" customHeight="1">
      <c r="A699" s="5" t="n"/>
      <c r="B699" s="2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8.75" customHeight="1">
      <c r="A700" s="5" t="n"/>
      <c r="B700" s="2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8.75" customHeight="1">
      <c r="A701" s="5" t="n"/>
      <c r="B701" s="2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8.75" customHeight="1">
      <c r="A702" s="5" t="n"/>
      <c r="B702" s="2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8.75" customHeight="1">
      <c r="A703" s="5" t="n"/>
      <c r="B703" s="2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8.75" customHeight="1">
      <c r="A704" s="5" t="n"/>
      <c r="B704" s="2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8.75" customHeight="1">
      <c r="A705" s="5" t="n"/>
      <c r="B705" s="2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8.75" customHeight="1">
      <c r="A706" s="5" t="n"/>
      <c r="B706" s="2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8.75" customHeight="1">
      <c r="A707" s="5" t="n"/>
      <c r="B707" s="2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8.75" customHeight="1">
      <c r="A708" s="5" t="n"/>
      <c r="B708" s="2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8.75" customHeight="1">
      <c r="A709" s="5" t="n"/>
      <c r="B709" s="2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8.75" customHeight="1">
      <c r="A710" s="5" t="n"/>
      <c r="B710" s="2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8.75" customHeight="1">
      <c r="A711" s="5" t="n"/>
      <c r="B711" s="2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8.75" customHeight="1">
      <c r="A712" s="5" t="n"/>
      <c r="B712" s="2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8.75" customHeight="1">
      <c r="A713" s="5" t="n"/>
      <c r="B713" s="2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8.75" customHeight="1">
      <c r="A714" s="5" t="n"/>
      <c r="B714" s="2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8.75" customHeight="1">
      <c r="A715" s="5" t="n"/>
      <c r="B715" s="2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8.75" customHeight="1">
      <c r="A716" s="5" t="n"/>
      <c r="B716" s="2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8.75" customHeight="1">
      <c r="A717" s="5" t="n"/>
      <c r="B717" s="2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8.75" customHeight="1">
      <c r="A718" s="5" t="n"/>
      <c r="B718" s="2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8.75" customHeight="1">
      <c r="A719" s="5" t="n"/>
      <c r="B719" s="2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8.75" customHeight="1">
      <c r="A720" s="5" t="n"/>
      <c r="B720" s="2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8.75" customHeight="1">
      <c r="A721" s="5" t="n"/>
      <c r="B721" s="2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8.75" customHeight="1">
      <c r="A722" s="5" t="n"/>
      <c r="B722" s="2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8.75" customHeight="1">
      <c r="A723" s="5" t="n"/>
      <c r="B723" s="2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8.75" customHeight="1">
      <c r="A724" s="5" t="n"/>
      <c r="B724" s="2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8.75" customHeight="1">
      <c r="A725" s="5" t="n"/>
      <c r="B725" s="2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8.75" customHeight="1">
      <c r="A726" s="5" t="n"/>
      <c r="B726" s="2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8.75" customHeight="1">
      <c r="A727" s="5" t="n"/>
      <c r="B727" s="2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8.75" customHeight="1">
      <c r="A728" s="5" t="n"/>
      <c r="B728" s="2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8.75" customHeight="1">
      <c r="A729" s="5" t="n"/>
      <c r="B729" s="2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8.75" customHeight="1">
      <c r="A730" s="5" t="n"/>
      <c r="B730" s="2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8.75" customHeight="1">
      <c r="A731" s="5" t="n"/>
      <c r="B731" s="2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8.75" customHeight="1">
      <c r="A732" s="5" t="n"/>
      <c r="B732" s="2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8.75" customHeight="1">
      <c r="A733" s="5" t="n"/>
      <c r="B733" s="2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8.75" customHeight="1">
      <c r="A734" s="5" t="n"/>
      <c r="B734" s="2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8.75" customHeight="1">
      <c r="A735" s="5" t="n"/>
      <c r="B735" s="2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8.75" customHeight="1">
      <c r="A736" s="5" t="n"/>
      <c r="B736" s="2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8.75" customHeight="1">
      <c r="A737" s="5" t="n"/>
      <c r="B737" s="2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8.75" customHeight="1">
      <c r="A738" s="5" t="n"/>
      <c r="B738" s="2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8.75" customHeight="1">
      <c r="A739" s="5" t="n"/>
      <c r="B739" s="2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8.75" customHeight="1">
      <c r="A740" s="5" t="n"/>
      <c r="B740" s="2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8.75" customHeight="1">
      <c r="A741" s="5" t="n"/>
      <c r="B741" s="2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8.75" customHeight="1">
      <c r="A742" s="5" t="n"/>
      <c r="B742" s="2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8.75" customHeight="1">
      <c r="A743" s="5" t="n"/>
      <c r="B743" s="2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8.75" customHeight="1">
      <c r="A744" s="5" t="n"/>
      <c r="B744" s="2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8.75" customHeight="1">
      <c r="A745" s="5" t="n"/>
      <c r="B745" s="2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8.75" customHeight="1">
      <c r="A746" s="5" t="n"/>
      <c r="B746" s="2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8.75" customHeight="1">
      <c r="A747" s="5" t="n"/>
      <c r="B747" s="2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8.75" customHeight="1">
      <c r="A748" s="5" t="n"/>
      <c r="B748" s="2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8.75" customHeight="1">
      <c r="A749" s="5" t="n"/>
      <c r="B749" s="2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8.75" customHeight="1">
      <c r="A750" s="5" t="n"/>
      <c r="B750" s="2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8.75" customHeight="1">
      <c r="A751" s="5" t="n"/>
      <c r="B751" s="2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8.75" customHeight="1">
      <c r="A752" s="5" t="n"/>
      <c r="B752" s="2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8.75" customHeight="1">
      <c r="A753" s="5" t="n"/>
      <c r="B753" s="2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8.75" customHeight="1">
      <c r="A754" s="5" t="n"/>
      <c r="B754" s="2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8.75" customHeight="1">
      <c r="A755" s="5" t="n"/>
      <c r="B755" s="2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8.75" customHeight="1">
      <c r="A756" s="5" t="n"/>
      <c r="B756" s="2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8.75" customHeight="1">
      <c r="A757" s="5" t="n"/>
      <c r="B757" s="2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8.75" customHeight="1">
      <c r="A758" s="5" t="n"/>
      <c r="B758" s="2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8.75" customHeight="1">
      <c r="A759" s="5" t="n"/>
      <c r="B759" s="2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8.75" customHeight="1">
      <c r="A760" s="5" t="n"/>
      <c r="B760" s="2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8.75" customHeight="1">
      <c r="A761" s="5" t="n"/>
      <c r="B761" s="2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8.75" customHeight="1">
      <c r="A762" s="5" t="n"/>
      <c r="B762" s="2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8.75" customHeight="1">
      <c r="A763" s="5" t="n"/>
      <c r="B763" s="2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8.75" customHeight="1">
      <c r="A764" s="5" t="n"/>
      <c r="B764" s="2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8.75" customHeight="1">
      <c r="A765" s="5" t="n"/>
      <c r="B765" s="2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8.75" customHeight="1">
      <c r="A766" s="5" t="n"/>
      <c r="B766" s="2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8.75" customHeight="1">
      <c r="A767" s="5" t="n"/>
      <c r="B767" s="2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8.75" customHeight="1">
      <c r="A768" s="5" t="n"/>
      <c r="B768" s="2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8.75" customHeight="1">
      <c r="A769" s="5" t="n"/>
      <c r="B769" s="2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8.75" customHeight="1">
      <c r="A770" s="5" t="n"/>
      <c r="B770" s="2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8.75" customHeight="1">
      <c r="A771" s="5" t="n"/>
      <c r="B771" s="2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8.75" customHeight="1">
      <c r="A772" s="5" t="n"/>
      <c r="B772" s="2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8.75" customHeight="1">
      <c r="A773" s="5" t="n"/>
      <c r="B773" s="2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8.75" customHeight="1">
      <c r="A774" s="5" t="n"/>
      <c r="B774" s="2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8.75" customHeight="1">
      <c r="A775" s="5" t="n"/>
      <c r="B775" s="2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8.75" customHeight="1">
      <c r="A776" s="5" t="n"/>
      <c r="B776" s="2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8.75" customHeight="1">
      <c r="A777" s="5" t="n"/>
      <c r="B777" s="2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8.75" customHeight="1">
      <c r="A778" s="5" t="n"/>
      <c r="B778" s="2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8.75" customHeight="1">
      <c r="A779" s="5" t="n"/>
      <c r="B779" s="2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8.75" customHeight="1">
      <c r="A780" s="5" t="n"/>
      <c r="B780" s="2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8.75" customHeight="1">
      <c r="A781" s="5" t="n"/>
      <c r="B781" s="2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8.75" customHeight="1">
      <c r="A782" s="5" t="n"/>
      <c r="B782" s="2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8.75" customHeight="1">
      <c r="A783" s="5" t="n"/>
      <c r="B783" s="2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8.75" customHeight="1">
      <c r="A784" s="5" t="n"/>
      <c r="B784" s="2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8.75" customHeight="1">
      <c r="A785" s="5" t="n"/>
      <c r="B785" s="2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8.75" customHeight="1">
      <c r="A786" s="5" t="n"/>
      <c r="B786" s="2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8.75" customHeight="1">
      <c r="A787" s="5" t="n"/>
      <c r="B787" s="2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8.75" customHeight="1">
      <c r="A788" s="5" t="n"/>
      <c r="B788" s="2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8.75" customHeight="1">
      <c r="A789" s="5" t="n"/>
      <c r="B789" s="2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8.75" customHeight="1">
      <c r="A790" s="5" t="n"/>
      <c r="B790" s="2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8.75" customHeight="1">
      <c r="A791" s="5" t="n"/>
      <c r="B791" s="2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8.75" customHeight="1">
      <c r="A792" s="5" t="n"/>
      <c r="B792" s="2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8.75" customHeight="1">
      <c r="A793" s="5" t="n"/>
      <c r="B793" s="2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8.75" customHeight="1">
      <c r="A794" s="5" t="n"/>
      <c r="B794" s="2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8.75" customHeight="1">
      <c r="A795" s="5" t="n"/>
      <c r="B795" s="2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8.75" customHeight="1">
      <c r="A796" s="5" t="n"/>
      <c r="B796" s="2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8.75" customHeight="1">
      <c r="A797" s="5" t="n"/>
      <c r="B797" s="2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8.75" customHeight="1">
      <c r="A798" s="5" t="n"/>
      <c r="B798" s="2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8.75" customHeight="1">
      <c r="A799" s="5" t="n"/>
      <c r="B799" s="2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8.75" customHeight="1">
      <c r="A800" s="5" t="n"/>
      <c r="B800" s="2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8.75" customHeight="1">
      <c r="A801" s="5" t="n"/>
      <c r="B801" s="2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8.75" customHeight="1">
      <c r="A802" s="5" t="n"/>
      <c r="B802" s="2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8.75" customHeight="1">
      <c r="A803" s="5" t="n"/>
      <c r="B803" s="2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8.75" customHeight="1">
      <c r="A804" s="5" t="n"/>
      <c r="B804" s="2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8.75" customHeight="1">
      <c r="A805" s="5" t="n"/>
      <c r="B805" s="2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8.75" customHeight="1">
      <c r="A806" s="5" t="n"/>
      <c r="B806" s="2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8.75" customHeight="1">
      <c r="A807" s="5" t="n"/>
      <c r="B807" s="2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8.75" customHeight="1">
      <c r="A808" s="5" t="n"/>
      <c r="B808" s="2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8.75" customHeight="1">
      <c r="A809" s="5" t="n"/>
      <c r="B809" s="2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8.75" customHeight="1">
      <c r="A810" s="5" t="n"/>
      <c r="B810" s="2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8.75" customHeight="1">
      <c r="A811" s="5" t="n"/>
      <c r="B811" s="2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8.75" customHeight="1">
      <c r="A812" s="5" t="n"/>
      <c r="B812" s="2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8.75" customHeight="1">
      <c r="A813" s="5" t="n"/>
      <c r="B813" s="2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8.75" customHeight="1">
      <c r="A814" s="5" t="n"/>
      <c r="B814" s="2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8.75" customHeight="1">
      <c r="A815" s="5" t="n"/>
      <c r="B815" s="2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8.75" customHeight="1">
      <c r="A816" s="5" t="n"/>
      <c r="B816" s="2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8.75" customHeight="1">
      <c r="A817" s="5" t="n"/>
      <c r="B817" s="2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8.75" customHeight="1">
      <c r="A818" s="5" t="n"/>
      <c r="B818" s="2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8.75" customHeight="1">
      <c r="A819" s="5" t="n"/>
      <c r="B819" s="2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8.75" customHeight="1">
      <c r="A820" s="5" t="n"/>
      <c r="B820" s="2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8.75" customHeight="1">
      <c r="A821" s="5" t="n"/>
      <c r="B821" s="2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8.75" customHeight="1">
      <c r="A822" s="5" t="n"/>
      <c r="B822" s="2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8.75" customHeight="1">
      <c r="A823" s="5" t="n"/>
      <c r="B823" s="2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8.75" customHeight="1">
      <c r="A824" s="5" t="n"/>
      <c r="B824" s="2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8.75" customHeight="1">
      <c r="A825" s="5" t="n"/>
      <c r="B825" s="2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8.75" customHeight="1">
      <c r="A826" s="5" t="n"/>
      <c r="B826" s="2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8.75" customHeight="1">
      <c r="A827" s="5" t="n"/>
      <c r="B827" s="2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8.75" customHeight="1">
      <c r="A828" s="5" t="n"/>
      <c r="B828" s="2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8.75" customHeight="1">
      <c r="A829" s="5" t="n"/>
      <c r="B829" s="2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8.75" customHeight="1">
      <c r="A830" s="5" t="n"/>
      <c r="B830" s="2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8.75" customHeight="1">
      <c r="A831" s="5" t="n"/>
      <c r="B831" s="2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8.75" customHeight="1">
      <c r="A832" s="5" t="n"/>
      <c r="B832" s="2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8.75" customHeight="1">
      <c r="A833" s="5" t="n"/>
      <c r="B833" s="2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8.75" customHeight="1">
      <c r="A834" s="5" t="n"/>
      <c r="B834" s="2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8.75" customHeight="1">
      <c r="A835" s="5" t="n"/>
      <c r="B835" s="2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8.75" customHeight="1">
      <c r="A836" s="5" t="n"/>
      <c r="B836" s="2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8.75" customHeight="1">
      <c r="A837" s="5" t="n"/>
      <c r="B837" s="2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8.75" customHeight="1">
      <c r="A838" s="5" t="n"/>
      <c r="B838" s="2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8.75" customHeight="1">
      <c r="A839" s="5" t="n"/>
      <c r="B839" s="2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8.75" customHeight="1">
      <c r="A840" s="5" t="n"/>
      <c r="B840" s="2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8.75" customHeight="1">
      <c r="A841" s="5" t="n"/>
      <c r="B841" s="2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8.75" customHeight="1">
      <c r="A842" s="5" t="n"/>
      <c r="B842" s="2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8.75" customHeight="1">
      <c r="A843" s="5" t="n"/>
      <c r="B843" s="2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8.75" customHeight="1">
      <c r="A844" s="5" t="n"/>
      <c r="B844" s="2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8.75" customHeight="1">
      <c r="A845" s="5" t="n"/>
      <c r="B845" s="2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8.75" customHeight="1">
      <c r="A846" s="5" t="n"/>
      <c r="B846" s="2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8.75" customHeight="1">
      <c r="A847" s="5" t="n"/>
      <c r="B847" s="2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8.75" customHeight="1">
      <c r="A848" s="5" t="n"/>
      <c r="B848" s="2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8.75" customHeight="1">
      <c r="A849" s="5" t="n"/>
      <c r="B849" s="2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8.75" customHeight="1">
      <c r="A850" s="5" t="n"/>
      <c r="B850" s="2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8.75" customHeight="1">
      <c r="A851" s="5" t="n"/>
      <c r="B851" s="2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8.75" customHeight="1">
      <c r="A852" s="5" t="n"/>
      <c r="B852" s="2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8.75" customHeight="1">
      <c r="A853" s="5" t="n"/>
      <c r="B853" s="2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8.75" customHeight="1">
      <c r="A854" s="5" t="n"/>
      <c r="B854" s="2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8.75" customHeight="1">
      <c r="A855" s="5" t="n"/>
      <c r="B855" s="2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8.75" customHeight="1">
      <c r="A856" s="5" t="n"/>
      <c r="B856" s="2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8.75" customHeight="1">
      <c r="A857" s="5" t="n"/>
      <c r="B857" s="2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8.75" customHeight="1">
      <c r="A858" s="5" t="n"/>
      <c r="B858" s="2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8.75" customHeight="1">
      <c r="A859" s="5" t="n"/>
      <c r="B859" s="2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8.75" customHeight="1">
      <c r="A860" s="5" t="n"/>
      <c r="B860" s="2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8.75" customHeight="1">
      <c r="A861" s="5" t="n"/>
      <c r="B861" s="2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8.75" customHeight="1">
      <c r="A862" s="5" t="n"/>
      <c r="B862" s="2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8.75" customHeight="1">
      <c r="A863" s="5" t="n"/>
      <c r="B863" s="2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8.75" customHeight="1">
      <c r="A864" s="5" t="n"/>
      <c r="B864" s="2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8.75" customHeight="1">
      <c r="A865" s="5" t="n"/>
      <c r="B865" s="2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8.75" customHeight="1">
      <c r="A866" s="5" t="n"/>
      <c r="B866" s="2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8.75" customHeight="1">
      <c r="A867" s="5" t="n"/>
      <c r="B867" s="2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8.75" customHeight="1">
      <c r="A868" s="5" t="n"/>
      <c r="B868" s="2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8.75" customHeight="1">
      <c r="A869" s="5" t="n"/>
      <c r="B869" s="2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8.75" customHeight="1">
      <c r="A870" s="5" t="n"/>
      <c r="B870" s="2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8.75" customHeight="1">
      <c r="A871" s="5" t="n"/>
      <c r="B871" s="2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8.75" customHeight="1">
      <c r="A872" s="5" t="n"/>
      <c r="B872" s="2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8.75" customHeight="1">
      <c r="A873" s="5" t="n"/>
      <c r="B873" s="2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8.75" customHeight="1">
      <c r="A874" s="5" t="n"/>
      <c r="B874" s="2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8.75" customHeight="1">
      <c r="A875" s="5" t="n"/>
      <c r="B875" s="2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8.75" customHeight="1">
      <c r="A876" s="5" t="n"/>
      <c r="B876" s="2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8.75" customHeight="1">
      <c r="A877" s="5" t="n"/>
      <c r="B877" s="2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8.75" customHeight="1">
      <c r="A878" s="5" t="n"/>
      <c r="B878" s="2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8.75" customHeight="1">
      <c r="A879" s="5" t="n"/>
      <c r="B879" s="2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8.75" customHeight="1">
      <c r="A880" s="5" t="n"/>
      <c r="B880" s="2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8.75" customHeight="1">
      <c r="A881" s="5" t="n"/>
      <c r="B881" s="2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8.75" customHeight="1">
      <c r="A882" s="5" t="n"/>
      <c r="B882" s="2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8.75" customHeight="1">
      <c r="A883" s="5" t="n"/>
      <c r="B883" s="2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8.75" customHeight="1">
      <c r="A884" s="5" t="n"/>
      <c r="B884" s="2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8.75" customHeight="1">
      <c r="A885" s="5" t="n"/>
      <c r="B885" s="2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8.75" customHeight="1">
      <c r="A886" s="5" t="n"/>
      <c r="B886" s="2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8.75" customHeight="1">
      <c r="A887" s="5" t="n"/>
      <c r="B887" s="2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8.75" customHeight="1">
      <c r="A888" s="5" t="n"/>
      <c r="B888" s="2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8.75" customHeight="1">
      <c r="A889" s="5" t="n"/>
      <c r="B889" s="2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8.75" customHeight="1">
      <c r="A890" s="5" t="n"/>
      <c r="B890" s="2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8.75" customHeight="1">
      <c r="A891" s="5" t="n"/>
      <c r="B891" s="2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8.75" customHeight="1">
      <c r="A892" s="5" t="n"/>
      <c r="B892" s="2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8.75" customHeight="1">
      <c r="A893" s="5" t="n"/>
      <c r="B893" s="2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8.75" customHeight="1">
      <c r="A894" s="5" t="n"/>
      <c r="B894" s="2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8.75" customHeight="1">
      <c r="A895" s="5" t="n"/>
      <c r="B895" s="2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8.75" customHeight="1">
      <c r="A896" s="5" t="n"/>
      <c r="B896" s="2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8.75" customHeight="1">
      <c r="A897" s="5" t="n"/>
      <c r="B897" s="2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8.75" customHeight="1">
      <c r="A898" s="5" t="n"/>
      <c r="B898" s="2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8.75" customHeight="1">
      <c r="A899" s="5" t="n"/>
      <c r="B899" s="2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8.75" customHeight="1">
      <c r="A900" s="5" t="n"/>
      <c r="B900" s="2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8.75" customHeight="1">
      <c r="A901" s="5" t="n"/>
      <c r="B901" s="2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8.75" customHeight="1">
      <c r="A902" s="5" t="n"/>
      <c r="B902" s="2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8.75" customHeight="1">
      <c r="A903" s="5" t="n"/>
      <c r="B903" s="2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8.75" customHeight="1">
      <c r="A904" s="5" t="n"/>
      <c r="B904" s="2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8.75" customHeight="1">
      <c r="A905" s="5" t="n"/>
      <c r="B905" s="2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8.75" customHeight="1">
      <c r="A906" s="5" t="n"/>
      <c r="B906" s="2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8.75" customHeight="1">
      <c r="A907" s="5" t="n"/>
      <c r="B907" s="2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8.75" customHeight="1">
      <c r="A908" s="5" t="n"/>
      <c r="B908" s="2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8.75" customHeight="1">
      <c r="A909" s="5" t="n"/>
      <c r="B909" s="2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8.75" customHeight="1">
      <c r="A910" s="5" t="n"/>
      <c r="B910" s="2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8.75" customHeight="1">
      <c r="A911" s="5" t="n"/>
      <c r="B911" s="2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8.75" customHeight="1">
      <c r="A912" s="5" t="n"/>
      <c r="B912" s="2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8.75" customHeight="1">
      <c r="A913" s="5" t="n"/>
      <c r="B913" s="2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8.75" customHeight="1">
      <c r="A914" s="5" t="n"/>
      <c r="B914" s="2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8.75" customHeight="1">
      <c r="A915" s="5" t="n"/>
      <c r="B915" s="2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8.75" customHeight="1">
      <c r="A916" s="5" t="n"/>
      <c r="B916" s="2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8.75" customHeight="1">
      <c r="A917" s="5" t="n"/>
      <c r="B917" s="2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8.75" customHeight="1">
      <c r="A918" s="5" t="n"/>
      <c r="B918" s="2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8.75" customHeight="1">
      <c r="A919" s="5" t="n"/>
      <c r="B919" s="2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8.75" customHeight="1">
      <c r="A920" s="5" t="n"/>
      <c r="B920" s="2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8.75" customHeight="1">
      <c r="A921" s="5" t="n"/>
      <c r="B921" s="2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8.75" customHeight="1">
      <c r="A922" s="5" t="n"/>
      <c r="B922" s="2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8.75" customHeight="1">
      <c r="A923" s="5" t="n"/>
      <c r="B923" s="2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8.75" customHeight="1">
      <c r="A924" s="5" t="n"/>
      <c r="B924" s="2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8.75" customHeight="1">
      <c r="A925" s="5" t="n"/>
      <c r="B925" s="2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8.75" customHeight="1">
      <c r="A926" s="5" t="n"/>
      <c r="B926" s="2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8.75" customHeight="1">
      <c r="A927" s="5" t="n"/>
      <c r="B927" s="2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8.75" customHeight="1">
      <c r="A928" s="5" t="n"/>
      <c r="B928" s="2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8.75" customHeight="1">
      <c r="A929" s="5" t="n"/>
      <c r="B929" s="2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8.75" customHeight="1">
      <c r="A930" s="5" t="n"/>
      <c r="B930" s="2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8.75" customHeight="1">
      <c r="A931" s="5" t="n"/>
      <c r="B931" s="2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8.75" customHeight="1">
      <c r="A932" s="5" t="n"/>
      <c r="B932" s="2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8.75" customHeight="1">
      <c r="A933" s="5" t="n"/>
      <c r="B933" s="2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8.75" customHeight="1">
      <c r="A934" s="5" t="n"/>
      <c r="B934" s="2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8.75" customHeight="1">
      <c r="A935" s="5" t="n"/>
      <c r="B935" s="2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8.75" customHeight="1">
      <c r="A936" s="5" t="n"/>
      <c r="B936" s="2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8.75" customHeight="1">
      <c r="A937" s="5" t="n"/>
      <c r="B937" s="2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8.75" customHeight="1">
      <c r="A938" s="5" t="n"/>
      <c r="B938" s="2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8.75" customHeight="1">
      <c r="A939" s="5" t="n"/>
      <c r="B939" s="2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8.75" customHeight="1">
      <c r="A940" s="5" t="n"/>
      <c r="B940" s="2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8.75" customHeight="1">
      <c r="A941" s="5" t="n"/>
      <c r="B941" s="2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8.75" customHeight="1">
      <c r="A942" s="5" t="n"/>
      <c r="B942" s="2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8.75" customHeight="1">
      <c r="A943" s="5" t="n"/>
      <c r="B943" s="2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8.75" customHeight="1">
      <c r="A944" s="5" t="n"/>
      <c r="B944" s="2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8.75" customHeight="1">
      <c r="A945" s="5" t="n"/>
      <c r="B945" s="2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8.75" customHeight="1">
      <c r="A946" s="5" t="n"/>
      <c r="B946" s="2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8.75" customHeight="1">
      <c r="A947" s="5" t="n"/>
      <c r="B947" s="2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8.75" customHeight="1">
      <c r="A948" s="5" t="n"/>
      <c r="B948" s="2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8.75" customHeight="1">
      <c r="A949" s="5" t="n"/>
      <c r="B949" s="2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8.75" customHeight="1">
      <c r="A950" s="5" t="n"/>
      <c r="B950" s="2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8.75" customHeight="1">
      <c r="A951" s="5" t="n"/>
      <c r="B951" s="2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8.75" customHeight="1">
      <c r="A952" s="5" t="n"/>
      <c r="B952" s="2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8.75" customHeight="1">
      <c r="A953" s="5" t="n"/>
      <c r="B953" s="2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8.75" customHeight="1">
      <c r="A954" s="5" t="n"/>
      <c r="B954" s="2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8.75" customHeight="1">
      <c r="A955" s="5" t="n"/>
      <c r="B955" s="2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8.75" customHeight="1">
      <c r="A956" s="5" t="n"/>
      <c r="B956" s="2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8.75" customHeight="1">
      <c r="A957" s="5" t="n"/>
      <c r="B957" s="2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8.75" customHeight="1">
      <c r="A958" s="5" t="n"/>
      <c r="B958" s="2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8.75" customHeight="1">
      <c r="A959" s="5" t="n"/>
      <c r="B959" s="2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8.75" customHeight="1">
      <c r="A960" s="5" t="n"/>
      <c r="B960" s="2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8.75" customHeight="1">
      <c r="A961" s="5" t="n"/>
      <c r="B961" s="2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8.75" customHeight="1">
      <c r="A962" s="5" t="n"/>
      <c r="B962" s="2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8.75" customHeight="1">
      <c r="A963" s="5" t="n"/>
      <c r="B963" s="2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8.75" customHeight="1">
      <c r="A964" s="5" t="n"/>
      <c r="B964" s="2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8.75" customHeight="1">
      <c r="A965" s="5" t="n"/>
      <c r="B965" s="2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8.75" customHeight="1">
      <c r="A966" s="5" t="n"/>
      <c r="B966" s="2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8.75" customHeight="1">
      <c r="A967" s="5" t="n"/>
      <c r="B967" s="2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8.75" customHeight="1">
      <c r="A968" s="5" t="n"/>
      <c r="B968" s="2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8.75" customHeight="1">
      <c r="A969" s="5" t="n"/>
      <c r="B969" s="2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8.75" customHeight="1">
      <c r="A970" s="5" t="n"/>
      <c r="B970" s="2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8.75" customHeight="1">
      <c r="A971" s="5" t="n"/>
      <c r="B971" s="2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8.75" customHeight="1">
      <c r="A972" s="5" t="n"/>
      <c r="B972" s="2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8.75" customHeight="1">
      <c r="A973" s="5" t="n"/>
      <c r="B973" s="2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8.75" customHeight="1">
      <c r="A974" s="5" t="n"/>
      <c r="B974" s="2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8.75" customHeight="1">
      <c r="A975" s="5" t="n"/>
      <c r="B975" s="2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8.75" customHeight="1">
      <c r="A976" s="5" t="n"/>
      <c r="B976" s="2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8.75" customHeight="1">
      <c r="A977" s="5" t="n"/>
      <c r="B977" s="2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8.75" customHeight="1">
      <c r="A978" s="5" t="n"/>
      <c r="B978" s="2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8.75" customHeight="1">
      <c r="A979" s="5" t="n"/>
      <c r="B979" s="2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8.75" customHeight="1">
      <c r="A980" s="5" t="n"/>
      <c r="B980" s="2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8.75" customHeight="1">
      <c r="A981" s="5" t="n"/>
      <c r="B981" s="2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8.75" customHeight="1">
      <c r="A982" s="5" t="n"/>
      <c r="B982" s="2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8.75" customHeight="1">
      <c r="A983" s="5" t="n"/>
      <c r="B983" s="2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8.75" customHeight="1">
      <c r="A984" s="5" t="n"/>
      <c r="B984" s="2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8.75" customHeight="1">
      <c r="A985" s="5" t="n"/>
      <c r="B985" s="2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8.75" customHeight="1">
      <c r="A986" s="5" t="n"/>
      <c r="B986" s="2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8.75" customHeight="1">
      <c r="A987" s="5" t="n"/>
      <c r="B987" s="2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8.75" customHeight="1">
      <c r="A988" s="5" t="n"/>
      <c r="B988" s="2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8.75" customHeight="1">
      <c r="A989" s="5" t="n"/>
      <c r="B989" s="2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8.75" customHeight="1">
      <c r="A990" s="5" t="n"/>
      <c r="B990" s="2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8.75" customHeight="1">
      <c r="A991" s="5" t="n"/>
      <c r="B991" s="2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8.75" customHeight="1">
      <c r="A992" s="5" t="n"/>
      <c r="B992" s="2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8.75" customHeight="1">
      <c r="A993" s="5" t="n"/>
      <c r="B993" s="2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8.75" customHeight="1">
      <c r="A994" s="5" t="n"/>
      <c r="B994" s="2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8.75" customHeight="1">
      <c r="A995" s="5" t="n"/>
      <c r="B995" s="2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8.75" customHeight="1">
      <c r="A996" s="5" t="n"/>
      <c r="B996" s="2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8.75" customHeight="1">
      <c r="A997" s="5" t="n"/>
      <c r="B997" s="2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8.75" customHeight="1">
      <c r="A998" s="5" t="n"/>
      <c r="B998" s="2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8.75" customHeight="1">
      <c r="A999" s="5" t="n"/>
      <c r="B999" s="2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8.75" customHeight="1">
      <c r="A1000" s="5" t="n"/>
      <c r="B1000" s="2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4">
    <mergeCell ref="A13:B13"/>
    <mergeCell ref="A14:B14"/>
    <mergeCell ref="A15:B15"/>
    <mergeCell ref="K21:L21"/>
  </mergeCells>
  <conditionalFormatting sqref="C15:Z15">
    <cfRule type="cellIs" priority="1" operator="greaterThanOrEqual" dxfId="0">
      <formula>25</formula>
    </cfRule>
  </conditionalFormatting>
  <dataValidations count="9">
    <dataValidation sqref="B9" showDropDown="0" showInputMessage="0" showErrorMessage="1" allowBlank="1" type="list">
      <formula1>衣服名冊</formula1>
    </dataValidation>
    <dataValidation sqref="B11" showDropDown="0" showInputMessage="0" showErrorMessage="1" allowBlank="1" type="list">
      <formula1>鞋子名冊</formula1>
    </dataValidation>
    <dataValidation sqref="B10" showDropDown="0" showInputMessage="0" showErrorMessage="1" allowBlank="1" type="list">
      <formula1>手套名冊</formula1>
    </dataValidation>
    <dataValidation sqref="B6" showDropDown="0" showInputMessage="0" showErrorMessage="1" allowBlank="1" type="list">
      <formula1>主武名冊</formula1>
    </dataValidation>
    <dataValidation sqref="B2:B3" showDropDown="0" showInputMessage="0" showErrorMessage="1" allowBlank="1" type="list">
      <formula1>飾品名冊</formula1>
    </dataValidation>
    <dataValidation sqref="B4:B5" showDropDown="0" showInputMessage="0" showErrorMessage="1" allowBlank="1" type="list">
      <formula1>寶物名冊</formula1>
    </dataValidation>
    <dataValidation sqref="B7" showDropDown="0" showInputMessage="0" showErrorMessage="1" allowBlank="1" type="list">
      <formula1>副武名冊</formula1>
    </dataValidation>
    <dataValidation sqref="B8" showDropDown="0" showInputMessage="0" showErrorMessage="1" allowBlank="1" type="list">
      <formula1>頭盔名冊</formula1>
    </dataValidation>
    <dataValidation sqref="B12" showDropDown="0" showInputMessage="0" showErrorMessage="1" allowBlank="1" type="list">
      <formula1>職業名冊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4"/>
  <sheetViews>
    <sheetView tabSelected="1" topLeftCell="A160" workbookViewId="0">
      <selection activeCell="G176" sqref="G176"/>
    </sheetView>
  </sheetViews>
  <sheetFormatPr baseColWidth="8" defaultColWidth="14.44140625" defaultRowHeight="15" customHeight="1"/>
  <cols>
    <col width="8.6640625" customWidth="1" min="1" max="1"/>
    <col width="21.5546875" customWidth="1" min="2" max="2"/>
    <col width="5.5546875" bestFit="1" customWidth="1" min="3" max="3"/>
    <col width="8.6640625" customWidth="1" min="4" max="4"/>
    <col width="5.5546875" bestFit="1" customWidth="1" min="5" max="6"/>
    <col width="7.5546875" bestFit="1" customWidth="1" min="7" max="7"/>
    <col width="5.5546875" bestFit="1" customWidth="1" min="8" max="26"/>
  </cols>
  <sheetData>
    <row r="1" ht="15.75" customHeight="1">
      <c r="A1" s="30" t="inlineStr">
        <is>
          <t>位置</t>
        </is>
      </c>
      <c r="B1" s="31" t="inlineStr">
        <is>
          <t>裝備名稱</t>
        </is>
      </c>
      <c r="C1" s="31" t="inlineStr">
        <is>
          <t>炮術</t>
        </is>
      </c>
      <c r="D1" s="31" t="inlineStr">
        <is>
          <t>水平射擊</t>
        </is>
      </c>
      <c r="E1" s="31" t="inlineStr">
        <is>
          <t>速射</t>
        </is>
      </c>
      <c r="F1" s="31" t="inlineStr">
        <is>
          <t>貫穿</t>
        </is>
      </c>
      <c r="G1" s="31" t="inlineStr">
        <is>
          <t>彈道學</t>
        </is>
      </c>
      <c r="H1" s="31" t="inlineStr">
        <is>
          <t>水雷</t>
        </is>
      </c>
      <c r="I1" s="31" t="inlineStr">
        <is>
          <t>齊射</t>
        </is>
      </c>
      <c r="J1" s="31" t="inlineStr">
        <is>
          <t>修理</t>
        </is>
      </c>
      <c r="K1" s="31" t="inlineStr">
        <is>
          <t>掠奪</t>
        </is>
      </c>
      <c r="L1" s="31" t="inlineStr">
        <is>
          <t>迴避</t>
        </is>
      </c>
      <c r="M1" s="31" t="inlineStr">
        <is>
          <t>應急</t>
        </is>
      </c>
      <c r="N1" s="31" t="inlineStr">
        <is>
          <t>手術</t>
        </is>
      </c>
      <c r="O1" s="31" t="inlineStr">
        <is>
          <t>划船</t>
        </is>
      </c>
      <c r="P1" s="31" t="inlineStr">
        <is>
          <t>劍術</t>
        </is>
      </c>
      <c r="Q1" s="31" t="inlineStr">
        <is>
          <t>突擊</t>
        </is>
      </c>
      <c r="R1" s="31" t="inlineStr">
        <is>
          <t>戰術</t>
        </is>
      </c>
      <c r="S1" s="31" t="inlineStr">
        <is>
          <t>射擊</t>
        </is>
      </c>
      <c r="T1" s="31" t="inlineStr">
        <is>
          <t>防禦</t>
        </is>
      </c>
      <c r="U1" s="31" t="inlineStr">
        <is>
          <t>識破</t>
        </is>
      </c>
      <c r="V1" s="31" t="inlineStr">
        <is>
          <t>猛擊</t>
        </is>
      </c>
      <c r="W1" s="31" t="inlineStr">
        <is>
          <t>迅捷</t>
        </is>
      </c>
      <c r="X1" s="31" t="inlineStr">
        <is>
          <t>接舷</t>
        </is>
      </c>
      <c r="Y1" s="31" t="inlineStr">
        <is>
          <t>操舵</t>
        </is>
      </c>
      <c r="Z1" s="31" t="inlineStr">
        <is>
          <t>搜尋</t>
        </is>
      </c>
    </row>
    <row r="2" ht="15.75" customHeight="1">
      <c r="A2" s="31" t="inlineStr">
        <is>
          <t>飾品</t>
        </is>
      </c>
      <c r="B2" s="31" t="inlineStr">
        <is>
          <t>丁卡族戒指</t>
        </is>
      </c>
      <c r="D2" s="31" t="n">
        <v>1</v>
      </c>
      <c r="E2" s="31" t="n">
        <v>1</v>
      </c>
      <c r="H2" s="31" t="n">
        <v>1</v>
      </c>
    </row>
    <row r="3" ht="15.75" customHeight="1">
      <c r="A3" s="31" t="inlineStr">
        <is>
          <t>飾品</t>
        </is>
      </c>
      <c r="B3" s="32" t="inlineStr">
        <is>
          <t>丁卡族戒指(質變)</t>
        </is>
      </c>
      <c r="D3" s="31" t="n">
        <v>2</v>
      </c>
      <c r="E3" s="31" t="n">
        <v>1</v>
      </c>
      <c r="H3" s="31" t="n">
        <v>1</v>
      </c>
    </row>
    <row r="4" ht="15.75" customHeight="1">
      <c r="A4" s="31" t="inlineStr">
        <is>
          <t>飾品</t>
        </is>
      </c>
      <c r="B4" s="31" t="inlineStr">
        <is>
          <t>漆黑手鐲</t>
        </is>
      </c>
      <c r="C4" s="31" t="n">
        <v>1</v>
      </c>
      <c r="H4" s="31" t="n">
        <v>1</v>
      </c>
      <c r="I4" s="31" t="n">
        <v>1</v>
      </c>
    </row>
    <row r="5" ht="15.75" customHeight="1">
      <c r="A5" s="31" t="inlineStr">
        <is>
          <t>飾品</t>
        </is>
      </c>
      <c r="B5" s="31" t="inlineStr">
        <is>
          <t>漆黑手鐲(質變)</t>
        </is>
      </c>
      <c r="C5" s="31" t="n">
        <v>1</v>
      </c>
      <c r="H5" s="31" t="n">
        <v>1</v>
      </c>
      <c r="I5" s="31" t="n">
        <v>2</v>
      </c>
    </row>
    <row r="6" ht="15.75" customHeight="1">
      <c r="A6" s="31" t="inlineStr">
        <is>
          <t>飾品</t>
        </is>
      </c>
      <c r="B6" s="31" t="inlineStr">
        <is>
          <t>土庫曼手鐲</t>
        </is>
      </c>
      <c r="D6" s="31" t="n">
        <v>1</v>
      </c>
      <c r="I6" s="31" t="n">
        <v>1</v>
      </c>
      <c r="K6" s="31" t="n">
        <v>1</v>
      </c>
    </row>
    <row r="7" ht="15.75" customHeight="1">
      <c r="A7" s="31" t="inlineStr">
        <is>
          <t>飾品</t>
        </is>
      </c>
      <c r="B7" s="31" t="inlineStr">
        <is>
          <t>尼布龍根戒指(唯一)</t>
        </is>
      </c>
      <c r="F7" s="31" t="n">
        <v>2</v>
      </c>
      <c r="J7" s="31" t="n">
        <v>1</v>
      </c>
      <c r="K7" s="31" t="n">
        <v>1</v>
      </c>
    </row>
    <row r="8" ht="15.75" customHeight="1">
      <c r="A8" s="31" t="inlineStr">
        <is>
          <t>飾品</t>
        </is>
      </c>
      <c r="B8" s="31" t="inlineStr">
        <is>
          <t>納加族的人面項鍊</t>
        </is>
      </c>
      <c r="Q8" s="31" t="n">
        <v>1</v>
      </c>
      <c r="T8" s="31" t="n">
        <v>2</v>
      </c>
      <c r="V8" s="31" t="n">
        <v>1</v>
      </c>
    </row>
    <row r="9" ht="15.75" customHeight="1">
      <c r="A9" s="31" t="inlineStr">
        <is>
          <t>飾品</t>
        </is>
      </c>
      <c r="B9" s="32" t="inlineStr">
        <is>
          <t>海盜女王的項鍊</t>
        </is>
      </c>
      <c r="K9" s="31" t="n">
        <v>1</v>
      </c>
      <c r="N9" s="31" t="n">
        <v>1</v>
      </c>
      <c r="O9" s="31" t="n">
        <v>1</v>
      </c>
    </row>
    <row r="10" ht="15.75" customHeight="1">
      <c r="A10" s="31" t="inlineStr">
        <is>
          <t>飾品</t>
        </is>
      </c>
      <c r="B10" s="32" t="inlineStr">
        <is>
          <t>海盜女王的項鍊(質變)</t>
        </is>
      </c>
      <c r="K10" s="31" t="n">
        <v>1</v>
      </c>
      <c r="L10" t="n">
        <v>1</v>
      </c>
      <c r="N10" s="31" t="n">
        <v>1</v>
      </c>
      <c r="O10" s="31" t="n">
        <v>1</v>
      </c>
    </row>
    <row r="11" ht="15.75" customHeight="1">
      <c r="A11" s="31" t="inlineStr">
        <is>
          <t>飾品</t>
        </is>
      </c>
      <c r="B11" s="31" t="inlineStr">
        <is>
          <t>芒薩族的項鍊</t>
        </is>
      </c>
      <c r="T11" s="31" t="n">
        <v>1</v>
      </c>
      <c r="U11" s="31" t="n">
        <v>1</v>
      </c>
      <c r="Z11" s="31" t="n">
        <v>1</v>
      </c>
    </row>
    <row r="12" ht="15.75" customHeight="1">
      <c r="A12" t="inlineStr">
        <is>
          <t>飾品</t>
        </is>
      </c>
      <c r="B12" t="inlineStr">
        <is>
          <t>丁卡族手鐲</t>
        </is>
      </c>
      <c r="L12" t="n">
        <v>1</v>
      </c>
      <c r="O12" t="n">
        <v>1</v>
      </c>
      <c r="T12" t="n">
        <v>1</v>
      </c>
    </row>
    <row r="13" ht="15.75" customHeight="1">
      <c r="A13" t="inlineStr">
        <is>
          <t>飾品</t>
        </is>
      </c>
      <c r="B13" t="inlineStr">
        <is>
          <t>丁卡族手鐲(質變)</t>
        </is>
      </c>
      <c r="L13" t="n">
        <v>2</v>
      </c>
      <c r="O13" t="n">
        <v>2</v>
      </c>
      <c r="T13" t="n">
        <v>1</v>
      </c>
    </row>
    <row r="14" ht="15.75" customHeight="1">
      <c r="A14" t="inlineStr">
        <is>
          <t>飾品</t>
        </is>
      </c>
      <c r="B14" t="inlineStr">
        <is>
          <t>凱爾特手鐲</t>
        </is>
      </c>
      <c r="P14" t="n">
        <v>1</v>
      </c>
      <c r="R14" t="n">
        <v>1</v>
      </c>
    </row>
    <row r="15" ht="15.75" customHeight="1">
      <c r="A15" t="inlineStr">
        <is>
          <t>飾品</t>
        </is>
      </c>
      <c r="B15" t="inlineStr">
        <is>
          <t>印度鱷魚的牙飾</t>
        </is>
      </c>
      <c r="U15" t="n">
        <v>1</v>
      </c>
      <c r="V15" t="n">
        <v>1</v>
      </c>
    </row>
    <row r="16" ht="15.75" customHeight="1">
      <c r="A16" t="inlineStr">
        <is>
          <t>飾品</t>
        </is>
      </c>
      <c r="B16" t="inlineStr">
        <is>
          <t>庫丘林的手鐲</t>
        </is>
      </c>
      <c r="P16" t="n">
        <v>1</v>
      </c>
      <c r="T16" t="n">
        <v>1</v>
      </c>
    </row>
    <row r="17" ht="15.75" customHeight="1">
      <c r="A17" t="inlineStr">
        <is>
          <t>飾品</t>
        </is>
      </c>
      <c r="B17" t="inlineStr">
        <is>
          <t>指引者項鍊</t>
        </is>
      </c>
      <c r="G17" t="n">
        <v>1</v>
      </c>
      <c r="I17" t="n">
        <v>1</v>
      </c>
      <c r="L17" t="n">
        <v>1</v>
      </c>
    </row>
    <row r="18" ht="15.75" customHeight="1">
      <c r="A18" t="inlineStr">
        <is>
          <t>飾品</t>
        </is>
      </c>
      <c r="B18" t="inlineStr">
        <is>
          <t>曙光的胸針</t>
        </is>
      </c>
      <c r="C18" t="n">
        <v>1</v>
      </c>
    </row>
    <row r="19" ht="15.75" customHeight="1">
      <c r="A19" t="inlineStr">
        <is>
          <t>飾品</t>
        </is>
      </c>
      <c r="B19" t="inlineStr">
        <is>
          <t>朱利安的戒指</t>
        </is>
      </c>
      <c r="Z19" t="n">
        <v>1</v>
      </c>
    </row>
    <row r="20" ht="15.75" customHeight="1">
      <c r="A20" t="inlineStr">
        <is>
          <t>飾品</t>
        </is>
      </c>
      <c r="B20" t="inlineStr">
        <is>
          <t>犰狳的鐵皮</t>
        </is>
      </c>
      <c r="T20" t="n">
        <v>1</v>
      </c>
    </row>
    <row r="21" ht="15.75" customHeight="1">
      <c r="A21" t="inlineStr">
        <is>
          <t>飾品</t>
        </is>
      </c>
      <c r="B21" t="inlineStr">
        <is>
          <t>神造手鐲</t>
        </is>
      </c>
      <c r="F21" t="n">
        <v>1</v>
      </c>
      <c r="L21" t="n">
        <v>1</v>
      </c>
    </row>
    <row r="22" ht="15.75" customHeight="1">
      <c r="A22" t="inlineStr">
        <is>
          <t>飾品</t>
        </is>
      </c>
      <c r="B22" t="inlineStr">
        <is>
          <t>紅色花的胸針</t>
        </is>
      </c>
      <c r="M22" t="n">
        <v>1</v>
      </c>
    </row>
    <row r="23" ht="15.75" customHeight="1">
      <c r="A23" t="inlineStr">
        <is>
          <t>飾品</t>
        </is>
      </c>
      <c r="B23" t="inlineStr">
        <is>
          <t>翡翠項鍊</t>
        </is>
      </c>
      <c r="S23" t="n">
        <v>1</v>
      </c>
      <c r="W23" t="n">
        <v>1</v>
      </c>
    </row>
    <row r="24" ht="15.75" customHeight="1">
      <c r="A24" t="inlineStr">
        <is>
          <t>飾品</t>
        </is>
      </c>
      <c r="B24" t="inlineStr">
        <is>
          <t>青銅的手鐲</t>
        </is>
      </c>
      <c r="M24" t="n">
        <v>1</v>
      </c>
    </row>
    <row r="25" ht="15.75" customHeight="1">
      <c r="A25" t="inlineStr">
        <is>
          <t>飾品</t>
        </is>
      </c>
      <c r="B25" t="inlineStr">
        <is>
          <t>馬賽族的飾環</t>
        </is>
      </c>
      <c r="Q25" t="n">
        <v>1</v>
      </c>
      <c r="W25" t="n">
        <v>1</v>
      </c>
    </row>
    <row r="26" ht="15.75" customHeight="1">
      <c r="A26" s="30" t="inlineStr">
        <is>
          <t>位置</t>
        </is>
      </c>
      <c r="B26" s="31" t="inlineStr">
        <is>
          <t>裝備名稱</t>
        </is>
      </c>
      <c r="C26" s="31" t="inlineStr">
        <is>
          <t>炮術</t>
        </is>
      </c>
      <c r="D26" s="31" t="inlineStr">
        <is>
          <t>水平射擊</t>
        </is>
      </c>
      <c r="E26" s="31" t="inlineStr">
        <is>
          <t>速射</t>
        </is>
      </c>
      <c r="F26" s="31" t="inlineStr">
        <is>
          <t>貫穿</t>
        </is>
      </c>
      <c r="G26" s="31" t="inlineStr">
        <is>
          <t>彈道學</t>
        </is>
      </c>
      <c r="H26" s="31" t="inlineStr">
        <is>
          <t>水雷</t>
        </is>
      </c>
      <c r="I26" s="31" t="inlineStr">
        <is>
          <t>齊射</t>
        </is>
      </c>
      <c r="J26" s="31" t="inlineStr">
        <is>
          <t>修理</t>
        </is>
      </c>
      <c r="K26" s="31" t="inlineStr">
        <is>
          <t>掠奪</t>
        </is>
      </c>
      <c r="L26" s="31" t="inlineStr">
        <is>
          <t>迴避</t>
        </is>
      </c>
      <c r="M26" s="31" t="inlineStr">
        <is>
          <t>應急</t>
        </is>
      </c>
      <c r="N26" s="31" t="inlineStr">
        <is>
          <t>手術</t>
        </is>
      </c>
      <c r="O26" s="31" t="inlineStr">
        <is>
          <t>划船</t>
        </is>
      </c>
      <c r="P26" s="31" t="inlineStr">
        <is>
          <t>劍術</t>
        </is>
      </c>
      <c r="Q26" s="31" t="inlineStr">
        <is>
          <t>突擊</t>
        </is>
      </c>
      <c r="R26" s="31" t="inlineStr">
        <is>
          <t>戰術</t>
        </is>
      </c>
      <c r="S26" s="31" t="inlineStr">
        <is>
          <t>射擊</t>
        </is>
      </c>
      <c r="T26" s="31" t="inlineStr">
        <is>
          <t>防禦</t>
        </is>
      </c>
      <c r="U26" s="31" t="inlineStr">
        <is>
          <t>識破</t>
        </is>
      </c>
      <c r="V26" s="31" t="inlineStr">
        <is>
          <t>猛擊</t>
        </is>
      </c>
      <c r="W26" s="31" t="inlineStr">
        <is>
          <t>迅捷</t>
        </is>
      </c>
      <c r="X26" s="31" t="inlineStr">
        <is>
          <t>接舷</t>
        </is>
      </c>
      <c r="Y26" s="31" t="inlineStr">
        <is>
          <t>操舵</t>
        </is>
      </c>
      <c r="Z26" s="31" t="inlineStr">
        <is>
          <t>搜尋</t>
        </is>
      </c>
    </row>
    <row r="27" ht="15.75" customHeight="1">
      <c r="A27" s="31" t="inlineStr">
        <is>
          <t>寶物</t>
        </is>
      </c>
      <c r="B27" s="32" t="inlineStr">
        <is>
          <t>軍神的護身符(質變)</t>
        </is>
      </c>
      <c r="C27" s="31" t="n">
        <v>2</v>
      </c>
      <c r="F27" s="31" t="n">
        <v>1</v>
      </c>
      <c r="G27" s="31" t="n">
        <v>1</v>
      </c>
      <c r="H27" s="33" t="n">
        <v>1</v>
      </c>
    </row>
    <row r="28" ht="15.75" customHeight="1">
      <c r="A28" s="31" t="inlineStr">
        <is>
          <t>寶物</t>
        </is>
      </c>
      <c r="B28" s="31" t="inlineStr">
        <is>
          <t>軍神的護身符</t>
        </is>
      </c>
      <c r="C28" s="31" t="n">
        <v>2</v>
      </c>
      <c r="F28" s="31" t="n">
        <v>1</v>
      </c>
      <c r="G28" s="31" t="n">
        <v>1</v>
      </c>
    </row>
    <row r="29" ht="15.75" customHeight="1">
      <c r="A29" s="31" t="inlineStr">
        <is>
          <t>寶物</t>
        </is>
      </c>
      <c r="B29" s="31" t="inlineStr">
        <is>
          <t>伊西絲的護符</t>
        </is>
      </c>
      <c r="H29" s="31" t="n">
        <v>1</v>
      </c>
      <c r="K29" s="31" t="n">
        <v>1</v>
      </c>
    </row>
    <row r="30" ht="15.75" customHeight="1">
      <c r="A30" s="31" t="inlineStr">
        <is>
          <t>寶物</t>
        </is>
      </c>
      <c r="B30" s="31" t="inlineStr">
        <is>
          <t>炮術家的手記</t>
        </is>
      </c>
      <c r="C30" s="31" t="n">
        <v>1</v>
      </c>
      <c r="I30" s="31" t="n">
        <v>1</v>
      </c>
    </row>
    <row r="31" ht="15.75" customHeight="1">
      <c r="A31" s="31" t="inlineStr">
        <is>
          <t>寶物</t>
        </is>
      </c>
      <c r="B31" s="31" t="inlineStr">
        <is>
          <t>黃金心臟</t>
        </is>
      </c>
      <c r="J31" s="31" t="n">
        <v>2</v>
      </c>
      <c r="M31" s="31" t="n">
        <v>1</v>
      </c>
    </row>
    <row r="32" ht="15.75" customHeight="1">
      <c r="A32" s="31" t="inlineStr">
        <is>
          <t>寶物</t>
        </is>
      </c>
      <c r="B32" s="32" t="inlineStr">
        <is>
          <t>猛將的印章(質變)</t>
        </is>
      </c>
      <c r="M32" s="31" t="n">
        <v>1</v>
      </c>
      <c r="Q32" s="31" t="n">
        <v>2</v>
      </c>
      <c r="R32" s="31" t="n">
        <v>1</v>
      </c>
      <c r="S32" s="33" t="n">
        <v>1</v>
      </c>
    </row>
    <row r="33" ht="15.75" customHeight="1">
      <c r="A33" s="31" t="inlineStr">
        <is>
          <t>寶物</t>
        </is>
      </c>
      <c r="B33" s="31" t="inlineStr">
        <is>
          <t>猛將的印章</t>
        </is>
      </c>
      <c r="M33" s="31" t="n">
        <v>1</v>
      </c>
      <c r="Q33" s="31" t="n">
        <v>2</v>
      </c>
      <c r="R33" s="31" t="n">
        <v>1</v>
      </c>
    </row>
    <row r="34" ht="15.75" customHeight="1">
      <c r="A34" s="31" t="inlineStr">
        <is>
          <t>寶物</t>
        </is>
      </c>
      <c r="B34" s="31" t="inlineStr">
        <is>
          <t>九柱神之書</t>
        </is>
      </c>
      <c r="P34" s="31" t="n">
        <v>1</v>
      </c>
      <c r="R34" s="31" t="n">
        <v>1</v>
      </c>
      <c r="S34" s="31" t="n">
        <v>1</v>
      </c>
    </row>
    <row r="35" ht="15.75" customHeight="1">
      <c r="A35" s="31" t="inlineStr">
        <is>
          <t>寶物</t>
        </is>
      </c>
      <c r="B35" s="31" t="inlineStr">
        <is>
          <t>海盜的成規</t>
        </is>
      </c>
      <c r="K35" s="31" t="n">
        <v>1</v>
      </c>
      <c r="Q35" s="31" t="n">
        <v>1</v>
      </c>
    </row>
    <row r="36" ht="15.75" customHeight="1">
      <c r="A36" s="31" t="inlineStr">
        <is>
          <t>寶物</t>
        </is>
      </c>
      <c r="B36" s="31" t="inlineStr">
        <is>
          <t>溫庫隆庫魯雕像</t>
        </is>
      </c>
      <c r="U36" s="31" t="n">
        <v>2</v>
      </c>
      <c r="V36" s="31" t="n">
        <v>2</v>
      </c>
    </row>
    <row r="37" ht="15.75" customHeight="1">
      <c r="A37" t="inlineStr">
        <is>
          <t>寶物</t>
        </is>
      </c>
      <c r="B37" t="inlineStr">
        <is>
          <t>佐爾齊的毒瓶</t>
        </is>
      </c>
      <c r="M37" t="n">
        <v>2</v>
      </c>
      <c r="R37" t="n">
        <v>2</v>
      </c>
    </row>
    <row r="38" ht="15.75" customHeight="1">
      <c r="A38" t="inlineStr">
        <is>
          <t>寶物</t>
        </is>
      </c>
      <c r="B38" t="inlineStr">
        <is>
          <t>佐爾齊的毒瓶(質變)</t>
        </is>
      </c>
      <c r="M38" t="n">
        <v>2</v>
      </c>
      <c r="R38" t="n">
        <v>3</v>
      </c>
    </row>
    <row r="39" ht="15.75" customHeight="1">
      <c r="A39" t="inlineStr">
        <is>
          <t>寶物</t>
        </is>
      </c>
      <c r="B39" t="inlineStr">
        <is>
          <t>印度女神護符</t>
        </is>
      </c>
      <c r="J39" t="n">
        <v>1</v>
      </c>
      <c r="L39" t="n">
        <v>2</v>
      </c>
      <c r="N39" t="n">
        <v>2</v>
      </c>
    </row>
    <row r="40" ht="15.75" customHeight="1">
      <c r="A40" t="inlineStr">
        <is>
          <t>寶物</t>
        </is>
      </c>
      <c r="B40" t="inlineStr">
        <is>
          <t>印度女神護符(質變)</t>
        </is>
      </c>
      <c r="J40" t="n">
        <v>1</v>
      </c>
      <c r="L40" t="n">
        <v>2</v>
      </c>
      <c r="N40" t="n">
        <v>2</v>
      </c>
    </row>
    <row r="41" ht="15.75" customHeight="1">
      <c r="A41" t="inlineStr">
        <is>
          <t>寶物</t>
        </is>
      </c>
      <c r="B41" t="inlineStr">
        <is>
          <t>印度神靈護符</t>
        </is>
      </c>
      <c r="W41" t="n">
        <v>1</v>
      </c>
    </row>
    <row r="42" ht="15.75" customHeight="1">
      <c r="A42" t="inlineStr">
        <is>
          <t>寶物</t>
        </is>
      </c>
      <c r="B42" t="inlineStr">
        <is>
          <t>古老的划船手冊</t>
        </is>
      </c>
      <c r="O42" t="n">
        <v>1</v>
      </c>
    </row>
    <row r="43" ht="15.75" customHeight="1">
      <c r="A43" t="inlineStr">
        <is>
          <t>寶物</t>
        </is>
      </c>
      <c r="B43" t="inlineStr">
        <is>
          <t>吉爾伽美什史詩</t>
        </is>
      </c>
      <c r="R43" t="n">
        <v>2</v>
      </c>
      <c r="Z43" t="n">
        <v>1</v>
      </c>
    </row>
    <row r="44" ht="15.75" customHeight="1">
      <c r="A44" t="inlineStr">
        <is>
          <t>寶物</t>
        </is>
      </c>
      <c r="B44" t="inlineStr">
        <is>
          <t>希波克拉底著作</t>
        </is>
      </c>
      <c r="N44" t="n">
        <v>2</v>
      </c>
    </row>
    <row r="45" ht="15.75" customHeight="1">
      <c r="A45" t="inlineStr">
        <is>
          <t>寶物</t>
        </is>
      </c>
      <c r="B45" t="inlineStr">
        <is>
          <t>所羅門王的鑰匙(質變)</t>
        </is>
      </c>
      <c r="Z45" t="n">
        <v>1</v>
      </c>
    </row>
    <row r="46" ht="15.75" customHeight="1">
      <c r="A46" t="inlineStr">
        <is>
          <t>寶物</t>
        </is>
      </c>
      <c r="B46" t="inlineStr">
        <is>
          <t>托特的護符</t>
        </is>
      </c>
      <c r="U46" t="n">
        <v>1</v>
      </c>
      <c r="W46" t="n">
        <v>1</v>
      </c>
    </row>
    <row r="47" ht="15.75" customHeight="1">
      <c r="A47" s="30" t="inlineStr">
        <is>
          <t>寶物</t>
        </is>
      </c>
      <c r="B47" t="inlineStr">
        <is>
          <t>托特的護符(質變)</t>
        </is>
      </c>
      <c r="U47" t="n">
        <v>2</v>
      </c>
      <c r="W47" t="n">
        <v>2</v>
      </c>
    </row>
    <row r="48" ht="15.75" customHeight="1">
      <c r="A48" t="inlineStr">
        <is>
          <t>寶物</t>
        </is>
      </c>
      <c r="B48" t="inlineStr">
        <is>
          <t>指引者護符</t>
        </is>
      </c>
      <c r="J48" t="n">
        <v>1</v>
      </c>
      <c r="K48" t="n">
        <v>1</v>
      </c>
      <c r="L48" t="n">
        <v>1</v>
      </c>
    </row>
    <row r="49" ht="15.75" customHeight="1">
      <c r="A49" t="inlineStr">
        <is>
          <t>寶物</t>
        </is>
      </c>
      <c r="B49" t="inlineStr">
        <is>
          <t>珍珠雞的羽毛飾品</t>
        </is>
      </c>
      <c r="W49" t="n">
        <v>1</v>
      </c>
    </row>
    <row r="50" ht="15.75" customHeight="1">
      <c r="A50" t="inlineStr">
        <is>
          <t>寶物</t>
        </is>
      </c>
      <c r="B50" t="inlineStr">
        <is>
          <t>神殿的護符</t>
        </is>
      </c>
      <c r="U50" t="n">
        <v>1</v>
      </c>
      <c r="Y50" t="n">
        <v>1</v>
      </c>
    </row>
    <row r="51" ht="15.75" customHeight="1">
      <c r="A51" t="inlineStr">
        <is>
          <t>寶物</t>
        </is>
      </c>
      <c r="B51" t="inlineStr">
        <is>
          <t>神聖文字的護符</t>
        </is>
      </c>
      <c r="V51" t="n">
        <v>1</v>
      </c>
    </row>
    <row r="52" ht="15.75" customHeight="1">
      <c r="A52" t="inlineStr">
        <is>
          <t>寶物</t>
        </is>
      </c>
      <c r="B52" t="inlineStr">
        <is>
          <t>聖殿騎士的護符</t>
        </is>
      </c>
      <c r="P52" t="n">
        <v>1</v>
      </c>
      <c r="U52" t="n">
        <v>1</v>
      </c>
    </row>
    <row r="53" ht="15.75" customHeight="1">
      <c r="A53" t="inlineStr">
        <is>
          <t>寶物</t>
        </is>
      </c>
      <c r="B53" t="inlineStr">
        <is>
          <t>近距離炮擊指南書</t>
        </is>
      </c>
      <c r="D53" t="n">
        <v>1</v>
      </c>
    </row>
    <row r="54" ht="15.75" customHeight="1">
      <c r="A54" t="inlineStr">
        <is>
          <t>寶物</t>
        </is>
      </c>
      <c r="B54" t="inlineStr">
        <is>
          <t>遠距離炮擊指南書</t>
        </is>
      </c>
      <c r="G54" t="n">
        <v>1</v>
      </c>
    </row>
    <row r="55" ht="15.75" customHeight="1">
      <c r="A55" t="inlineStr">
        <is>
          <t>寶物</t>
        </is>
      </c>
      <c r="B55" t="inlineStr">
        <is>
          <t>醫學著作</t>
        </is>
      </c>
      <c r="N55" t="n">
        <v>1</v>
      </c>
    </row>
    <row r="56" ht="15.75" customHeight="1">
      <c r="A56" t="inlineStr">
        <is>
          <t>寶物</t>
        </is>
      </c>
      <c r="B56" t="inlineStr">
        <is>
          <t>阿拉丁神燈</t>
        </is>
      </c>
      <c r="U56" t="n">
        <v>2</v>
      </c>
    </row>
    <row r="57" ht="15.75" customHeight="1">
      <c r="A57" t="inlineStr">
        <is>
          <t>寶物</t>
        </is>
      </c>
      <c r="B57" t="inlineStr">
        <is>
          <t>黃金心臟(質變)</t>
        </is>
      </c>
      <c r="J57" t="n">
        <v>2</v>
      </c>
      <c r="M57" t="n">
        <v>2</v>
      </c>
      <c r="N57" t="n">
        <v>1</v>
      </c>
    </row>
    <row r="58" ht="15.75" customHeight="1">
      <c r="A58" s="30" t="inlineStr">
        <is>
          <t>位置</t>
        </is>
      </c>
      <c r="B58" s="31" t="inlineStr">
        <is>
          <t>裝備名稱</t>
        </is>
      </c>
      <c r="C58" s="31" t="inlineStr">
        <is>
          <t>炮術</t>
        </is>
      </c>
      <c r="D58" s="31" t="inlineStr">
        <is>
          <t>水平射擊</t>
        </is>
      </c>
      <c r="E58" s="31" t="inlineStr">
        <is>
          <t>速射</t>
        </is>
      </c>
      <c r="F58" s="31" t="inlineStr">
        <is>
          <t>貫穿</t>
        </is>
      </c>
      <c r="G58" s="31" t="inlineStr">
        <is>
          <t>彈道學</t>
        </is>
      </c>
      <c r="H58" s="31" t="inlineStr">
        <is>
          <t>水雷</t>
        </is>
      </c>
      <c r="I58" s="31" t="inlineStr">
        <is>
          <t>齊射</t>
        </is>
      </c>
      <c r="J58" s="31" t="inlineStr">
        <is>
          <t>修理</t>
        </is>
      </c>
      <c r="K58" s="31" t="inlineStr">
        <is>
          <t>掠奪</t>
        </is>
      </c>
      <c r="L58" s="31" t="inlineStr">
        <is>
          <t>迴避</t>
        </is>
      </c>
      <c r="M58" s="31" t="inlineStr">
        <is>
          <t>應急</t>
        </is>
      </c>
      <c r="N58" s="31" t="inlineStr">
        <is>
          <t>手術</t>
        </is>
      </c>
      <c r="O58" s="31" t="inlineStr">
        <is>
          <t>划船</t>
        </is>
      </c>
      <c r="P58" s="31" t="inlineStr">
        <is>
          <t>劍術</t>
        </is>
      </c>
      <c r="Q58" s="31" t="inlineStr">
        <is>
          <t>突擊</t>
        </is>
      </c>
      <c r="R58" s="31" t="inlineStr">
        <is>
          <t>戰術</t>
        </is>
      </c>
      <c r="S58" s="31" t="inlineStr">
        <is>
          <t>射擊</t>
        </is>
      </c>
      <c r="T58" s="31" t="inlineStr">
        <is>
          <t>防禦</t>
        </is>
      </c>
      <c r="U58" s="31" t="inlineStr">
        <is>
          <t>識破</t>
        </is>
      </c>
      <c r="V58" s="31" t="inlineStr">
        <is>
          <t>猛擊</t>
        </is>
      </c>
      <c r="W58" s="31" t="inlineStr">
        <is>
          <t>迅捷</t>
        </is>
      </c>
      <c r="X58" s="31" t="inlineStr">
        <is>
          <t>接舷</t>
        </is>
      </c>
      <c r="Y58" s="31" t="inlineStr">
        <is>
          <t>操舵</t>
        </is>
      </c>
      <c r="Z58" s="31" t="inlineStr">
        <is>
          <t>搜尋</t>
        </is>
      </c>
    </row>
    <row r="59" ht="15.75" customHeight="1">
      <c r="A59" s="31" t="inlineStr">
        <is>
          <t>主武</t>
        </is>
      </c>
      <c r="B59" s="31" t="inlineStr">
        <is>
          <t>馬木魯克的弓</t>
        </is>
      </c>
      <c r="D59" s="31" t="n">
        <v>3</v>
      </c>
      <c r="F59" s="31" t="n">
        <v>2</v>
      </c>
      <c r="G59" s="31" t="n">
        <v>3</v>
      </c>
    </row>
    <row r="60" ht="15.75" customHeight="1">
      <c r="A60" s="31" t="inlineStr">
        <is>
          <t>主武</t>
        </is>
      </c>
      <c r="B60" s="31" t="inlineStr">
        <is>
          <t>西班牙將軍的權杖</t>
        </is>
      </c>
      <c r="D60" s="31" t="n">
        <v>2</v>
      </c>
      <c r="H60" s="31" t="n">
        <v>1</v>
      </c>
    </row>
    <row r="61" ht="15.75" customHeight="1">
      <c r="A61" s="31" t="inlineStr">
        <is>
          <t>主武</t>
        </is>
      </c>
      <c r="B61" s="31" t="inlineStr">
        <is>
          <t>艦隊指揮官之劍</t>
        </is>
      </c>
      <c r="D61" s="31" t="n">
        <v>3</v>
      </c>
      <c r="I61" s="31" t="n">
        <v>3</v>
      </c>
      <c r="K61" s="31" t="n">
        <v>2</v>
      </c>
    </row>
    <row r="62" ht="15.75" customHeight="1">
      <c r="A62" s="31" t="inlineStr">
        <is>
          <t>主武</t>
        </is>
      </c>
      <c r="B62" s="32" t="inlineStr">
        <is>
          <t>神魔槍(質變)</t>
        </is>
      </c>
      <c r="P62" s="31" t="n">
        <v>3</v>
      </c>
      <c r="Q62" s="31" t="n">
        <v>3</v>
      </c>
      <c r="V62" s="33" t="n">
        <v>3</v>
      </c>
    </row>
    <row r="63" ht="15.75" customHeight="1">
      <c r="A63" s="31" t="inlineStr">
        <is>
          <t>主武</t>
        </is>
      </c>
      <c r="B63" s="31" t="inlineStr">
        <is>
          <t>神魔槍</t>
        </is>
      </c>
      <c r="P63" s="31" t="n">
        <v>3</v>
      </c>
      <c r="Q63" s="31" t="n">
        <v>3</v>
      </c>
      <c r="V63" s="31" t="n">
        <v>2</v>
      </c>
    </row>
    <row r="64" ht="15.75" customHeight="1">
      <c r="A64" s="31" t="inlineStr">
        <is>
          <t>主武</t>
        </is>
      </c>
      <c r="B64" s="32" t="inlineStr">
        <is>
          <t>海民之劍(質變)</t>
        </is>
      </c>
      <c r="O64" s="31" t="n">
        <v>2</v>
      </c>
      <c r="P64" s="31" t="n">
        <v>2</v>
      </c>
      <c r="Q64" s="31" t="n">
        <v>2</v>
      </c>
      <c r="X64" s="31" t="n">
        <v>2</v>
      </c>
    </row>
    <row r="65" ht="15.75" customHeight="1">
      <c r="A65" s="31" t="inlineStr">
        <is>
          <t>主武</t>
        </is>
      </c>
      <c r="B65" s="31" t="inlineStr">
        <is>
          <t>土耳其禁衛軍長槍</t>
        </is>
      </c>
      <c r="K65" s="31" t="n">
        <v>2</v>
      </c>
      <c r="S65" s="31" t="n">
        <v>3</v>
      </c>
      <c r="U65" s="31" t="n">
        <v>3</v>
      </c>
    </row>
    <row r="66" ht="15.75" customHeight="1">
      <c r="A66" s="31" t="inlineStr">
        <is>
          <t>主武</t>
        </is>
      </c>
      <c r="B66" s="31" t="inlineStr">
        <is>
          <t>聖劍</t>
        </is>
      </c>
      <c r="K66" s="31" t="n">
        <v>2</v>
      </c>
      <c r="P66" s="31" t="n">
        <v>3</v>
      </c>
      <c r="R66" s="31" t="n">
        <v>3</v>
      </c>
    </row>
    <row r="67" ht="15.75" customHeight="1">
      <c r="A67" s="31" t="inlineStr">
        <is>
          <t>主武</t>
        </is>
      </c>
      <c r="B67" s="31" t="inlineStr">
        <is>
          <t>精兵用土耳其彎刀</t>
        </is>
      </c>
      <c r="K67" s="31" t="n">
        <v>2</v>
      </c>
      <c r="P67" s="31" t="n">
        <v>3</v>
      </c>
      <c r="R67" s="31" t="n">
        <v>3</v>
      </c>
    </row>
    <row r="68" ht="15.75" customHeight="1">
      <c r="A68" s="32" t="inlineStr">
        <is>
          <t>主武</t>
        </is>
      </c>
      <c r="B68" s="32" t="inlineStr">
        <is>
          <t>巴爾蒙克(質變)</t>
        </is>
      </c>
      <c r="P68" s="31" t="n">
        <v>3</v>
      </c>
      <c r="Q68" s="31" t="n">
        <v>3</v>
      </c>
      <c r="R68" t="n">
        <v>2</v>
      </c>
      <c r="V68" s="34" t="n"/>
    </row>
    <row r="69" ht="15.75" customHeight="1">
      <c r="A69" t="inlineStr">
        <is>
          <t>主武</t>
        </is>
      </c>
      <c r="B69" t="inlineStr">
        <is>
          <t>丁卡族戰士長槍</t>
        </is>
      </c>
      <c r="K69" t="n">
        <v>1</v>
      </c>
      <c r="P69" t="n">
        <v>2</v>
      </c>
      <c r="Q69" t="n">
        <v>2</v>
      </c>
    </row>
    <row r="70" ht="15.75" customHeight="1">
      <c r="A70" t="inlineStr">
        <is>
          <t>主武</t>
        </is>
      </c>
      <c r="B70" t="inlineStr">
        <is>
          <t>亞歷山大大帝寶劍</t>
        </is>
      </c>
      <c r="H70" t="n">
        <v>2</v>
      </c>
      <c r="K70" t="n">
        <v>1</v>
      </c>
    </row>
    <row r="71" ht="15.75" customHeight="1">
      <c r="A71" t="inlineStr">
        <is>
          <t>主武</t>
        </is>
      </c>
      <c r="B71" t="inlineStr">
        <is>
          <t>伊西絲神杖</t>
        </is>
      </c>
      <c r="Z71" t="n">
        <v>1</v>
      </c>
    </row>
    <row r="72" ht="15.75" customHeight="1">
      <c r="A72" t="inlineStr">
        <is>
          <t>主武</t>
        </is>
      </c>
      <c r="B72" t="inlineStr">
        <is>
          <t>伊西絲神杖(質變)</t>
        </is>
      </c>
      <c r="Z72" t="n">
        <v>2</v>
      </c>
    </row>
    <row r="73" ht="15.75" customHeight="1">
      <c r="A73" t="inlineStr">
        <is>
          <t>主武</t>
        </is>
      </c>
      <c r="B73" t="inlineStr">
        <is>
          <t>凱撒大帝的寶劍</t>
        </is>
      </c>
      <c r="P73" t="n">
        <v>2</v>
      </c>
      <c r="R73" t="n">
        <v>2</v>
      </c>
    </row>
    <row r="74" ht="15.75" customHeight="1">
      <c r="A74" t="inlineStr">
        <is>
          <t>主武</t>
        </is>
      </c>
      <c r="B74" t="inlineStr">
        <is>
          <t>刺劍</t>
        </is>
      </c>
      <c r="X74" t="n">
        <v>1</v>
      </c>
    </row>
    <row r="75" ht="15.75" customHeight="1">
      <c r="A75" t="inlineStr">
        <is>
          <t>主武</t>
        </is>
      </c>
      <c r="B75" t="inlineStr">
        <is>
          <t>勇敢戰士長槍</t>
        </is>
      </c>
      <c r="P75" t="n">
        <v>1</v>
      </c>
      <c r="Q75" t="n">
        <v>2</v>
      </c>
    </row>
    <row r="76" ht="15.75" customHeight="1">
      <c r="A76" t="inlineStr">
        <is>
          <t>主武</t>
        </is>
      </c>
      <c r="B76" t="inlineStr">
        <is>
          <t>史懷哲軍刀</t>
        </is>
      </c>
      <c r="I76" t="n">
        <v>1</v>
      </c>
      <c r="L76" t="n">
        <v>1</v>
      </c>
    </row>
    <row r="77" ht="15.75" customHeight="1">
      <c r="A77" t="inlineStr">
        <is>
          <t>主武</t>
        </is>
      </c>
      <c r="B77" t="inlineStr">
        <is>
          <t>土耳其彎刀</t>
        </is>
      </c>
      <c r="K77" t="n">
        <v>1</v>
      </c>
      <c r="P77" t="n">
        <v>3</v>
      </c>
      <c r="Q77" t="n">
        <v>3</v>
      </c>
    </row>
    <row r="78" ht="15.75" customHeight="1">
      <c r="A78" t="inlineStr">
        <is>
          <t>主武</t>
        </is>
      </c>
      <c r="B78" t="inlineStr">
        <is>
          <t>密集陣的長槍</t>
        </is>
      </c>
      <c r="P78" t="n">
        <v>1</v>
      </c>
      <c r="T78" t="n">
        <v>1</v>
      </c>
    </row>
    <row r="79" ht="15.75" customHeight="1">
      <c r="A79" t="inlineStr">
        <is>
          <t>主武</t>
        </is>
      </c>
      <c r="B79" t="inlineStr">
        <is>
          <t>巴爾蒙克</t>
        </is>
      </c>
      <c r="P79" t="n">
        <v>3</v>
      </c>
      <c r="Q79" t="n">
        <v>2</v>
      </c>
      <c r="R79" t="n">
        <v>2</v>
      </c>
    </row>
    <row r="80" ht="15.75" customHeight="1">
      <c r="A80" t="inlineStr">
        <is>
          <t>主武</t>
        </is>
      </c>
      <c r="B80" t="inlineStr">
        <is>
          <t>戰斧</t>
        </is>
      </c>
      <c r="P80" t="n">
        <v>1</v>
      </c>
      <c r="Q80" t="n">
        <v>2</v>
      </c>
    </row>
    <row r="81" ht="15.75" customHeight="1">
      <c r="A81" t="inlineStr">
        <is>
          <t>主武</t>
        </is>
      </c>
      <c r="B81" t="inlineStr">
        <is>
          <t>拳刺</t>
        </is>
      </c>
      <c r="K81" t="n">
        <v>1</v>
      </c>
      <c r="P81" t="n">
        <v>2</v>
      </c>
    </row>
    <row r="82" ht="15.75" customHeight="1">
      <c r="A82" t="inlineStr">
        <is>
          <t>主武</t>
        </is>
      </c>
      <c r="B82" t="inlineStr">
        <is>
          <t>海民之劍</t>
        </is>
      </c>
      <c r="O82" t="n">
        <v>2</v>
      </c>
      <c r="P82" t="n">
        <v>2</v>
      </c>
    </row>
    <row r="83" ht="15.75" customHeight="1">
      <c r="A83" t="inlineStr">
        <is>
          <t>主武</t>
        </is>
      </c>
      <c r="B83" t="inlineStr">
        <is>
          <t>海盜彎刀</t>
        </is>
      </c>
      <c r="P83" t="n">
        <v>1</v>
      </c>
      <c r="Q83" t="n">
        <v>1</v>
      </c>
    </row>
    <row r="84" ht="15.75" customHeight="1">
      <c r="A84" t="inlineStr">
        <is>
          <t>主武</t>
        </is>
      </c>
      <c r="B84" t="inlineStr">
        <is>
          <t>激發式火槍</t>
        </is>
      </c>
      <c r="D84" t="n">
        <v>1</v>
      </c>
      <c r="I84" t="n">
        <v>1</v>
      </c>
    </row>
    <row r="85" ht="15.75" customHeight="1">
      <c r="A85" t="inlineStr">
        <is>
          <t>主武</t>
        </is>
      </c>
      <c r="B85" t="inlineStr">
        <is>
          <t>火繩式火槍</t>
        </is>
      </c>
      <c r="D85" t="n">
        <v>1</v>
      </c>
    </row>
    <row r="86" ht="15.75" customHeight="1">
      <c r="A86" t="inlineStr">
        <is>
          <t>主武</t>
        </is>
      </c>
      <c r="B86" t="inlineStr">
        <is>
          <t>石斧</t>
        </is>
      </c>
      <c r="P86" t="n">
        <v>1</v>
      </c>
    </row>
    <row r="87" ht="15.75" customHeight="1">
      <c r="A87" t="inlineStr">
        <is>
          <t>主武</t>
        </is>
      </c>
      <c r="B87" t="inlineStr">
        <is>
          <t>祖魯族戰士的盾牌</t>
        </is>
      </c>
      <c r="M87" t="n">
        <v>1</v>
      </c>
      <c r="T87" t="n">
        <v>2</v>
      </c>
    </row>
    <row r="88" ht="15.75" customHeight="1">
      <c r="A88" t="inlineStr">
        <is>
          <t>主武</t>
        </is>
      </c>
      <c r="B88" t="inlineStr">
        <is>
          <t>神光戟</t>
        </is>
      </c>
      <c r="P88" t="n">
        <v>3</v>
      </c>
      <c r="R88" t="n">
        <v>2</v>
      </c>
      <c r="V88" t="n">
        <v>2</v>
      </c>
    </row>
    <row r="89" ht="15.75" customHeight="1">
      <c r="A89" t="inlineStr">
        <is>
          <t>主武</t>
        </is>
      </c>
      <c r="B89" t="inlineStr">
        <is>
          <t>裴洛伐斧</t>
        </is>
      </c>
      <c r="P89" t="n">
        <v>2</v>
      </c>
      <c r="R89" t="n">
        <v>2</v>
      </c>
    </row>
    <row r="90" ht="15.75" customHeight="1">
      <c r="A90" t="inlineStr">
        <is>
          <t>主武</t>
        </is>
      </c>
      <c r="B90" t="inlineStr">
        <is>
          <t>西洋軍刀</t>
        </is>
      </c>
      <c r="P90" t="n">
        <v>1</v>
      </c>
    </row>
    <row r="91" ht="15.75" customHeight="1">
      <c r="A91" t="inlineStr">
        <is>
          <t>主武</t>
        </is>
      </c>
      <c r="B91" t="inlineStr">
        <is>
          <t>迪朗達爾</t>
        </is>
      </c>
      <c r="P91" t="n">
        <v>2</v>
      </c>
      <c r="Q91" t="n">
        <v>2</v>
      </c>
      <c r="V91" t="n">
        <v>1</v>
      </c>
    </row>
    <row r="92" ht="15.75" customHeight="1">
      <c r="A92" t="inlineStr">
        <is>
          <t>主武</t>
        </is>
      </c>
      <c r="B92" t="inlineStr">
        <is>
          <t>重劍</t>
        </is>
      </c>
      <c r="P92" t="n">
        <v>1</v>
      </c>
      <c r="R92" t="n">
        <v>1</v>
      </c>
    </row>
    <row r="93" ht="15.75" customHeight="1">
      <c r="A93" t="inlineStr">
        <is>
          <t>主武</t>
        </is>
      </c>
      <c r="B93" t="inlineStr">
        <is>
          <t>金銀的光弓</t>
        </is>
      </c>
      <c r="E93" t="n">
        <v>1</v>
      </c>
      <c r="I93" t="n">
        <v>2</v>
      </c>
    </row>
    <row r="94" ht="15.75" customHeight="1">
      <c r="A94" t="inlineStr">
        <is>
          <t>主武</t>
        </is>
      </c>
      <c r="B94" t="inlineStr">
        <is>
          <t>長柄劍</t>
        </is>
      </c>
      <c r="P94" t="n">
        <v>1</v>
      </c>
    </row>
    <row r="95" ht="15.75" customHeight="1">
      <c r="A95" t="inlineStr">
        <is>
          <t>主武</t>
        </is>
      </c>
      <c r="B95" t="inlineStr">
        <is>
          <t>長矛</t>
        </is>
      </c>
      <c r="Q95" t="n">
        <v>1</v>
      </c>
    </row>
    <row r="96" ht="15.75" customHeight="1">
      <c r="A96" t="inlineStr">
        <is>
          <t>主武</t>
        </is>
      </c>
      <c r="B96" t="inlineStr">
        <is>
          <t>阿巴斯王的寶劍</t>
        </is>
      </c>
      <c r="C96" t="n">
        <v>1</v>
      </c>
      <c r="D96" t="n">
        <v>3</v>
      </c>
      <c r="F96" t="n">
        <v>1</v>
      </c>
      <c r="O96" t="n">
        <v>2</v>
      </c>
    </row>
    <row r="97" ht="15.75" customHeight="1">
      <c r="A97" t="inlineStr">
        <is>
          <t>主武</t>
        </is>
      </c>
      <c r="B97" t="inlineStr">
        <is>
          <t>阿巴斯王的寶劍(質變)</t>
        </is>
      </c>
      <c r="C97" t="n">
        <v>1</v>
      </c>
      <c r="D97" t="n">
        <v>3</v>
      </c>
      <c r="F97" t="n">
        <v>1</v>
      </c>
      <c r="O97" t="n">
        <v>3</v>
      </c>
    </row>
    <row r="98" ht="15.75" customHeight="1">
      <c r="A98" t="inlineStr">
        <is>
          <t>主武</t>
        </is>
      </c>
      <c r="B98" t="inlineStr">
        <is>
          <t>雷神之鎚</t>
        </is>
      </c>
      <c r="M98" t="n">
        <v>2</v>
      </c>
      <c r="P98" t="n">
        <v>2</v>
      </c>
      <c r="S98" t="n">
        <v>1</v>
      </c>
    </row>
    <row r="99" ht="15.75" customHeight="1">
      <c r="A99" t="inlineStr">
        <is>
          <t>主武</t>
        </is>
      </c>
      <c r="B99" t="inlineStr">
        <is>
          <t>馬賽族戰士的盾牌</t>
        </is>
      </c>
      <c r="M99" t="n">
        <v>2</v>
      </c>
      <c r="T99" t="n">
        <v>2</v>
      </c>
    </row>
    <row r="100" ht="15.75" customHeight="1">
      <c r="A100" s="30" t="inlineStr">
        <is>
          <t>位置</t>
        </is>
      </c>
      <c r="B100" s="31" t="inlineStr">
        <is>
          <t>裝備名稱</t>
        </is>
      </c>
      <c r="C100" s="31" t="inlineStr">
        <is>
          <t>炮術</t>
        </is>
      </c>
      <c r="D100" s="31" t="inlineStr">
        <is>
          <t>水平射擊</t>
        </is>
      </c>
      <c r="E100" s="31" t="inlineStr">
        <is>
          <t>速射</t>
        </is>
      </c>
      <c r="F100" s="31" t="inlineStr">
        <is>
          <t>貫穿</t>
        </is>
      </c>
      <c r="G100" s="31" t="inlineStr">
        <is>
          <t>彈道學</t>
        </is>
      </c>
      <c r="H100" s="31" t="inlineStr">
        <is>
          <t>水雷</t>
        </is>
      </c>
      <c r="I100" s="31" t="inlineStr">
        <is>
          <t>齊射</t>
        </is>
      </c>
      <c r="J100" s="31" t="inlineStr">
        <is>
          <t>修理</t>
        </is>
      </c>
      <c r="K100" s="31" t="inlineStr">
        <is>
          <t>掠奪</t>
        </is>
      </c>
      <c r="L100" s="31" t="inlineStr">
        <is>
          <t>迴避</t>
        </is>
      </c>
      <c r="M100" s="31" t="inlineStr">
        <is>
          <t>應急</t>
        </is>
      </c>
      <c r="N100" s="31" t="inlineStr">
        <is>
          <t>手術</t>
        </is>
      </c>
      <c r="O100" s="31" t="inlineStr">
        <is>
          <t>划船</t>
        </is>
      </c>
      <c r="P100" s="31" t="inlineStr">
        <is>
          <t>劍術</t>
        </is>
      </c>
      <c r="Q100" s="31" t="inlineStr">
        <is>
          <t>突擊</t>
        </is>
      </c>
      <c r="R100" s="31" t="inlineStr">
        <is>
          <t>戰術</t>
        </is>
      </c>
      <c r="S100" s="31" t="inlineStr">
        <is>
          <t>射擊</t>
        </is>
      </c>
      <c r="T100" s="31" t="inlineStr">
        <is>
          <t>防禦</t>
        </is>
      </c>
      <c r="U100" s="31" t="inlineStr">
        <is>
          <t>識破</t>
        </is>
      </c>
      <c r="V100" s="31" t="inlineStr">
        <is>
          <t>猛擊</t>
        </is>
      </c>
      <c r="W100" s="31" t="inlineStr">
        <is>
          <t>迅捷</t>
        </is>
      </c>
      <c r="X100" s="31" t="inlineStr">
        <is>
          <t>接舷</t>
        </is>
      </c>
      <c r="Y100" s="31" t="inlineStr">
        <is>
          <t>操舵</t>
        </is>
      </c>
      <c r="Z100" s="31" t="inlineStr">
        <is>
          <t>搜尋</t>
        </is>
      </c>
    </row>
    <row r="101" ht="15.75" customHeight="1">
      <c r="A101" s="31" t="inlineStr">
        <is>
          <t>副武</t>
        </is>
      </c>
      <c r="B101" s="32" t="inlineStr">
        <is>
          <t>波斯單刃短劍(質變)</t>
        </is>
      </c>
      <c r="C101" s="31" t="n">
        <v>2</v>
      </c>
      <c r="E101" s="33" t="n">
        <v>3</v>
      </c>
      <c r="G101" s="31" t="n">
        <v>2</v>
      </c>
    </row>
    <row r="102" ht="15.75" customHeight="1">
      <c r="A102" s="31" t="inlineStr">
        <is>
          <t>副武</t>
        </is>
      </c>
      <c r="B102" s="32" t="inlineStr">
        <is>
          <t>波斯單刃短劍</t>
        </is>
      </c>
      <c r="C102" s="31" t="n">
        <v>2</v>
      </c>
      <c r="E102" s="31" t="n">
        <v>2</v>
      </c>
      <c r="G102" s="31" t="n">
        <v>2</v>
      </c>
    </row>
    <row r="103" ht="15.75" customHeight="1">
      <c r="A103" s="31" t="inlineStr">
        <is>
          <t>副武</t>
        </is>
      </c>
      <c r="B103" s="31" t="inlineStr">
        <is>
          <t>大口徑短槍</t>
        </is>
      </c>
      <c r="D103" s="31" t="n">
        <v>2</v>
      </c>
      <c r="E103" s="31" t="n">
        <v>2</v>
      </c>
    </row>
    <row r="104" ht="15.75" customHeight="1">
      <c r="A104" s="31" t="inlineStr">
        <is>
          <t>副武</t>
        </is>
      </c>
      <c r="B104" s="31" t="inlineStr">
        <is>
          <t>土耳其禁衛軍小刀</t>
        </is>
      </c>
      <c r="E104" s="31" t="n">
        <v>2</v>
      </c>
      <c r="J104" s="31" t="n">
        <v>1</v>
      </c>
      <c r="L104" s="31" t="n">
        <v>2</v>
      </c>
    </row>
    <row r="105" ht="15.75" customHeight="1">
      <c r="A105" s="31" t="inlineStr">
        <is>
          <t>副武</t>
        </is>
      </c>
      <c r="B105" s="31" t="inlineStr">
        <is>
          <t>奪魂劍</t>
        </is>
      </c>
      <c r="P105" s="31" t="n">
        <v>2</v>
      </c>
      <c r="Q105" s="31" t="n">
        <v>2</v>
      </c>
      <c r="V105" s="31" t="n">
        <v>2</v>
      </c>
    </row>
    <row r="106" ht="15.75" customHeight="1">
      <c r="A106" s="31" t="inlineStr">
        <is>
          <t>副武</t>
        </is>
      </c>
      <c r="B106" s="31" t="inlineStr">
        <is>
          <t>漆黑的短劍</t>
        </is>
      </c>
      <c r="L106" s="31" t="n">
        <v>3</v>
      </c>
      <c r="P106" s="31" t="n">
        <v>2</v>
      </c>
      <c r="R106" s="31" t="n">
        <v>1</v>
      </c>
    </row>
    <row r="107" ht="15.75" customHeight="1">
      <c r="A107" s="31" t="inlineStr">
        <is>
          <t>副武</t>
        </is>
      </c>
      <c r="B107" s="32" t="inlineStr">
        <is>
          <t>漆黑的短劍(質變)</t>
        </is>
      </c>
      <c r="L107" s="31" t="n">
        <v>3</v>
      </c>
      <c r="P107" s="31" t="n">
        <v>2</v>
      </c>
      <c r="R107" s="31" t="n">
        <v>2</v>
      </c>
    </row>
    <row r="108" ht="15.75" customHeight="1">
      <c r="A108" t="inlineStr">
        <is>
          <t>副武</t>
        </is>
      </c>
      <c r="B108" t="inlineStr">
        <is>
          <t>亨加爾彎刀</t>
        </is>
      </c>
      <c r="P108" t="n">
        <v>2</v>
      </c>
      <c r="W108" t="n">
        <v>1</v>
      </c>
    </row>
    <row r="109" ht="15.75" customHeight="1">
      <c r="A109" t="inlineStr">
        <is>
          <t>副武</t>
        </is>
      </c>
      <c r="B109" t="inlineStr">
        <is>
          <t>匕首</t>
        </is>
      </c>
      <c r="L109" t="n">
        <v>1</v>
      </c>
      <c r="P109" t="n">
        <v>1</v>
      </c>
    </row>
    <row r="110" ht="15.75" customHeight="1">
      <c r="A110" t="inlineStr">
        <is>
          <t>副武</t>
        </is>
      </c>
      <c r="B110" t="inlineStr">
        <is>
          <t>卡馬短劍</t>
        </is>
      </c>
      <c r="P110" t="n">
        <v>2</v>
      </c>
      <c r="Q110" t="n">
        <v>1</v>
      </c>
      <c r="U110" t="n">
        <v>2</v>
      </c>
    </row>
    <row r="111" ht="15.75" customHeight="1">
      <c r="A111" t="inlineStr">
        <is>
          <t>副武</t>
        </is>
      </c>
      <c r="B111" t="inlineStr">
        <is>
          <t>名醫之手術刀</t>
        </is>
      </c>
      <c r="N111" t="n">
        <v>1</v>
      </c>
    </row>
    <row r="112" ht="15.75" customHeight="1">
      <c r="A112" t="inlineStr">
        <is>
          <t>副武</t>
        </is>
      </c>
      <c r="B112" t="inlineStr">
        <is>
          <t>土耳其禁衛軍彎刀</t>
        </is>
      </c>
      <c r="P112" t="n">
        <v>2</v>
      </c>
      <c r="V112" t="n">
        <v>1</v>
      </c>
    </row>
    <row r="113" ht="15.75" customHeight="1">
      <c r="A113" t="inlineStr">
        <is>
          <t>副武</t>
        </is>
      </c>
      <c r="B113" t="inlineStr">
        <is>
          <t>奪魂劍(質變)</t>
        </is>
      </c>
      <c r="P113" t="n">
        <v>2</v>
      </c>
      <c r="Q113" t="n">
        <v>2</v>
      </c>
      <c r="V113" t="n">
        <v>3</v>
      </c>
    </row>
    <row r="114" ht="15.75" customHeight="1">
      <c r="A114" t="inlineStr">
        <is>
          <t>副武</t>
        </is>
      </c>
      <c r="B114" t="inlineStr">
        <is>
          <t>小刀</t>
        </is>
      </c>
      <c r="P114" t="n">
        <v>1</v>
      </c>
    </row>
    <row r="115" ht="15.75" customHeight="1">
      <c r="A115" t="inlineStr">
        <is>
          <t>副武</t>
        </is>
      </c>
      <c r="B115" t="inlineStr">
        <is>
          <t>左手用短劍</t>
        </is>
      </c>
      <c r="D115" t="n">
        <v>1</v>
      </c>
      <c r="L115" t="n">
        <v>1</v>
      </c>
    </row>
    <row r="116" ht="15.75" customHeight="1">
      <c r="A116" t="inlineStr">
        <is>
          <t>副武</t>
        </is>
      </c>
      <c r="B116" t="inlineStr">
        <is>
          <t>沙漠天蠍劍</t>
        </is>
      </c>
      <c r="P116" t="n">
        <v>2</v>
      </c>
    </row>
    <row r="117" ht="15.75" customHeight="1">
      <c r="A117" t="inlineStr">
        <is>
          <t>副武</t>
        </is>
      </c>
      <c r="B117" t="inlineStr">
        <is>
          <t>燧發槍</t>
        </is>
      </c>
      <c r="D117" t="n">
        <v>1</v>
      </c>
      <c r="E117" t="n">
        <v>1</v>
      </c>
    </row>
    <row r="118" ht="15.75" customHeight="1">
      <c r="A118" t="inlineStr">
        <is>
          <t>副武</t>
        </is>
      </c>
      <c r="B118" t="inlineStr">
        <is>
          <t>維京海盜的號角</t>
        </is>
      </c>
      <c r="L118" t="n">
        <v>2</v>
      </c>
      <c r="M118" t="n">
        <v>1</v>
      </c>
    </row>
    <row r="119" ht="15.75" customHeight="1">
      <c r="A119" t="inlineStr">
        <is>
          <t>副武</t>
        </is>
      </c>
      <c r="B119" t="inlineStr">
        <is>
          <t>航海者的軌跡</t>
        </is>
      </c>
      <c r="O119" t="n">
        <v>1</v>
      </c>
      <c r="Y119" t="n">
        <v>1</v>
      </c>
    </row>
    <row r="120" ht="15.75" customHeight="1">
      <c r="A120" t="inlineStr">
        <is>
          <t>副武</t>
        </is>
      </c>
      <c r="B120" t="inlineStr">
        <is>
          <t>高加索雙刃刀</t>
        </is>
      </c>
      <c r="L120" t="n">
        <v>2</v>
      </c>
      <c r="Q120" t="n">
        <v>1</v>
      </c>
      <c r="T120" t="n">
        <v>1</v>
      </c>
    </row>
    <row r="121" ht="15.75" customHeight="1">
      <c r="A121" s="30" t="inlineStr">
        <is>
          <t>位置</t>
        </is>
      </c>
      <c r="B121" s="31" t="inlineStr">
        <is>
          <t>裝備名稱</t>
        </is>
      </c>
      <c r="C121" s="31" t="inlineStr">
        <is>
          <t>炮術</t>
        </is>
      </c>
      <c r="D121" s="31" t="inlineStr">
        <is>
          <t>水平射擊</t>
        </is>
      </c>
      <c r="E121" s="31" t="inlineStr">
        <is>
          <t>速射</t>
        </is>
      </c>
      <c r="F121" s="31" t="inlineStr">
        <is>
          <t>貫穿</t>
        </is>
      </c>
      <c r="G121" s="31" t="inlineStr">
        <is>
          <t>彈道學</t>
        </is>
      </c>
      <c r="H121" s="31" t="inlineStr">
        <is>
          <t>水雷</t>
        </is>
      </c>
      <c r="I121" s="31" t="inlineStr">
        <is>
          <t>齊射</t>
        </is>
      </c>
      <c r="J121" s="31" t="inlineStr">
        <is>
          <t>修理</t>
        </is>
      </c>
      <c r="K121" s="31" t="inlineStr">
        <is>
          <t>掠奪</t>
        </is>
      </c>
      <c r="L121" s="31" t="inlineStr">
        <is>
          <t>迴避</t>
        </is>
      </c>
      <c r="M121" s="31" t="inlineStr">
        <is>
          <t>應急</t>
        </is>
      </c>
      <c r="N121" s="31" t="inlineStr">
        <is>
          <t>手術</t>
        </is>
      </c>
      <c r="O121" s="31" t="inlineStr">
        <is>
          <t>划船</t>
        </is>
      </c>
      <c r="P121" s="31" t="inlineStr">
        <is>
          <t>劍術</t>
        </is>
      </c>
      <c r="Q121" s="31" t="inlineStr">
        <is>
          <t>突擊</t>
        </is>
      </c>
      <c r="R121" s="31" t="inlineStr">
        <is>
          <t>戰術</t>
        </is>
      </c>
      <c r="S121" s="31" t="inlineStr">
        <is>
          <t>射擊</t>
        </is>
      </c>
      <c r="T121" s="31" t="inlineStr">
        <is>
          <t>防禦</t>
        </is>
      </c>
      <c r="U121" s="31" t="inlineStr">
        <is>
          <t>識破</t>
        </is>
      </c>
      <c r="V121" s="31" t="inlineStr">
        <is>
          <t>猛擊</t>
        </is>
      </c>
      <c r="W121" s="31" t="inlineStr">
        <is>
          <t>迅捷</t>
        </is>
      </c>
      <c r="X121" s="31" t="inlineStr">
        <is>
          <t>接舷</t>
        </is>
      </c>
      <c r="Y121" s="31" t="inlineStr">
        <is>
          <t>操舵</t>
        </is>
      </c>
      <c r="Z121" s="31" t="inlineStr">
        <is>
          <t>搜尋</t>
        </is>
      </c>
    </row>
    <row r="122" ht="15.75" customHeight="1">
      <c r="A122" s="31" t="inlineStr">
        <is>
          <t>頭盔</t>
        </is>
      </c>
      <c r="B122" s="32" t="inlineStr">
        <is>
          <t>阿爾維達的頭盔(質變)</t>
        </is>
      </c>
      <c r="E122" s="33" t="n">
        <v>3</v>
      </c>
      <c r="F122" s="31" t="n">
        <v>3</v>
      </c>
      <c r="G122" s="31" t="n">
        <v>3</v>
      </c>
    </row>
    <row r="123" ht="15.75" customHeight="1">
      <c r="A123" s="31" t="inlineStr">
        <is>
          <t>頭盔</t>
        </is>
      </c>
      <c r="B123" s="31" t="inlineStr">
        <is>
          <t>阿爾維達的頭盔</t>
        </is>
      </c>
      <c r="E123" s="31" t="n">
        <v>2</v>
      </c>
      <c r="F123" s="31" t="n">
        <v>3</v>
      </c>
      <c r="G123" s="31" t="n">
        <v>3</v>
      </c>
    </row>
    <row r="124" ht="15.75" customHeight="1">
      <c r="A124" s="31" t="inlineStr">
        <is>
          <t>頭盔</t>
        </is>
      </c>
      <c r="B124" s="31" t="inlineStr">
        <is>
          <t>洋蘇木染無簷帽</t>
        </is>
      </c>
      <c r="C124" s="31" t="n">
        <v>3</v>
      </c>
      <c r="E124" s="31" t="n">
        <v>1</v>
      </c>
      <c r="J124" s="31" t="n">
        <v>2</v>
      </c>
    </row>
    <row r="125" ht="15.75" customHeight="1">
      <c r="A125" s="31" t="inlineStr">
        <is>
          <t>頭盔</t>
        </is>
      </c>
      <c r="B125" s="32" t="inlineStr">
        <is>
          <t>黑太子頭盔(質變)</t>
        </is>
      </c>
      <c r="R125" s="31" t="n">
        <v>3</v>
      </c>
      <c r="V125" s="33" t="n">
        <v>3</v>
      </c>
      <c r="W125" s="33" t="n">
        <v>3</v>
      </c>
    </row>
    <row r="126" ht="15.75" customHeight="1">
      <c r="A126" s="31" t="inlineStr">
        <is>
          <t>頭盔</t>
        </is>
      </c>
      <c r="B126" s="31" t="inlineStr">
        <is>
          <t>黑太子頭盔</t>
        </is>
      </c>
      <c r="R126" s="31" t="n">
        <v>3</v>
      </c>
      <c r="V126" s="31" t="n">
        <v>2</v>
      </c>
      <c r="W126" s="31" t="n">
        <v>2</v>
      </c>
    </row>
    <row r="127" ht="15.75" customHeight="1">
      <c r="A127" s="31" t="inlineStr">
        <is>
          <t>頭盔</t>
        </is>
      </c>
      <c r="B127" s="31" t="inlineStr">
        <is>
          <t>章魚帽</t>
        </is>
      </c>
      <c r="L127" s="31" t="n">
        <v>1</v>
      </c>
      <c r="N127" s="31" t="n">
        <v>2</v>
      </c>
      <c r="Y127" s="31" t="n">
        <v>1</v>
      </c>
    </row>
    <row r="128" ht="15.75" customHeight="1">
      <c r="A128" s="31" t="inlineStr">
        <is>
          <t>頭盔</t>
        </is>
      </c>
      <c r="B128" s="31" t="inlineStr">
        <is>
          <t>海盜獵手帽</t>
        </is>
      </c>
      <c r="E128" s="31" t="n">
        <v>2</v>
      </c>
      <c r="Y128" s="31" t="n">
        <v>2</v>
      </c>
    </row>
    <row r="129" ht="15.75" customHeight="1">
      <c r="A129" s="31" t="inlineStr">
        <is>
          <t>頭盔</t>
        </is>
      </c>
      <c r="B129" s="31" t="inlineStr">
        <is>
          <t>海盜王冠</t>
        </is>
      </c>
      <c r="L129" s="31" t="n">
        <v>1</v>
      </c>
      <c r="R129" s="31" t="n">
        <v>3</v>
      </c>
      <c r="T129" s="31" t="n">
        <v>3</v>
      </c>
    </row>
    <row r="130" ht="15.75" customHeight="1">
      <c r="A130" t="inlineStr">
        <is>
          <t>頭盔</t>
        </is>
      </c>
      <c r="B130" t="inlineStr">
        <is>
          <t>三角帽</t>
        </is>
      </c>
      <c r="P130" t="n">
        <v>1</v>
      </c>
    </row>
    <row r="131" ht="15.75" customHeight="1">
      <c r="A131" t="inlineStr">
        <is>
          <t>頭盔</t>
        </is>
      </c>
      <c r="B131" t="inlineStr">
        <is>
          <t>十字頭盔</t>
        </is>
      </c>
      <c r="R131" t="n">
        <v>1</v>
      </c>
      <c r="T131" t="n">
        <v>2</v>
      </c>
    </row>
    <row r="132" ht="15.75" customHeight="1">
      <c r="A132" t="inlineStr">
        <is>
          <t>頭盔</t>
        </is>
      </c>
      <c r="B132" t="inlineStr">
        <is>
          <t>威尼斯海軍官帽</t>
        </is>
      </c>
      <c r="C132" t="n">
        <v>2</v>
      </c>
      <c r="F132" t="n">
        <v>2</v>
      </c>
      <c r="J132" t="n">
        <v>1</v>
      </c>
    </row>
    <row r="133" ht="15.75" customHeight="1">
      <c r="A133" t="inlineStr">
        <is>
          <t>頭盔</t>
        </is>
      </c>
      <c r="B133" t="inlineStr">
        <is>
          <t>尊貴騎羽盔</t>
        </is>
      </c>
      <c r="C133" t="n">
        <v>1</v>
      </c>
      <c r="G133" t="n">
        <v>1</v>
      </c>
    </row>
    <row r="134" ht="15.75" customHeight="1">
      <c r="A134" t="inlineStr">
        <is>
          <t>頭盔</t>
        </is>
      </c>
      <c r="B134" t="inlineStr">
        <is>
          <t>尼德蘭海軍官帽</t>
        </is>
      </c>
      <c r="C134" t="n">
        <v>2</v>
      </c>
      <c r="F134" t="n">
        <v>2</v>
      </c>
      <c r="J134" t="n">
        <v>1</v>
      </c>
    </row>
    <row r="135" ht="15.75" customHeight="1">
      <c r="A135" t="inlineStr">
        <is>
          <t>頭盔</t>
        </is>
      </c>
      <c r="B135" t="inlineStr">
        <is>
          <t>尼德蘭海軍正裝帽</t>
        </is>
      </c>
      <c r="F135" t="n">
        <v>2</v>
      </c>
      <c r="G135" t="n">
        <v>2</v>
      </c>
    </row>
    <row r="136" ht="15.75" customHeight="1">
      <c r="A136" t="inlineStr">
        <is>
          <t>頭盔</t>
        </is>
      </c>
      <c r="B136" t="inlineStr">
        <is>
          <t>帶羽毛的寬沿帽</t>
        </is>
      </c>
      <c r="U136" t="n">
        <v>2</v>
      </c>
      <c r="V136" t="n">
        <v>1</v>
      </c>
      <c r="W136" t="n">
        <v>1</v>
      </c>
    </row>
    <row r="137" ht="15.75" customHeight="1">
      <c r="A137" t="inlineStr">
        <is>
          <t>頭盔</t>
        </is>
      </c>
      <c r="B137" t="inlineStr">
        <is>
          <t>帶羽毛的扁平帽</t>
        </is>
      </c>
      <c r="U137" t="n">
        <v>1</v>
      </c>
    </row>
    <row r="138" ht="15.75" customHeight="1">
      <c r="A138" t="inlineStr">
        <is>
          <t>頭盔</t>
        </is>
      </c>
      <c r="B138" t="inlineStr">
        <is>
          <t>幽靈船長山形帽</t>
        </is>
      </c>
      <c r="N138" t="n">
        <v>2</v>
      </c>
      <c r="R138" t="n">
        <v>2</v>
      </c>
      <c r="S138" t="n">
        <v>1</v>
      </c>
    </row>
    <row r="139" ht="15.75" customHeight="1">
      <c r="A139" t="inlineStr">
        <is>
          <t>頭盔</t>
        </is>
      </c>
      <c r="B139" t="inlineStr">
        <is>
          <t>法蘭西海軍官帽</t>
        </is>
      </c>
      <c r="C139" t="n">
        <v>2</v>
      </c>
      <c r="F139" t="n">
        <v>2</v>
      </c>
      <c r="J139" t="n">
        <v>1</v>
      </c>
    </row>
    <row r="140" ht="15.75" customHeight="1">
      <c r="A140" t="inlineStr">
        <is>
          <t>頭盔</t>
        </is>
      </c>
      <c r="B140" t="inlineStr">
        <is>
          <t>法蘭西海軍正裝帽</t>
        </is>
      </c>
      <c r="F140" t="n">
        <v>1</v>
      </c>
      <c r="G140" t="n">
        <v>2</v>
      </c>
    </row>
    <row r="141" ht="15.75" customHeight="1">
      <c r="A141" t="inlineStr">
        <is>
          <t>頭盔</t>
        </is>
      </c>
      <c r="B141" t="inlineStr">
        <is>
          <t>海盜山形帽</t>
        </is>
      </c>
      <c r="N141" t="n">
        <v>2</v>
      </c>
      <c r="R141" t="n">
        <v>2</v>
      </c>
      <c r="S141" t="n">
        <v>1</v>
      </c>
    </row>
    <row r="142" ht="15.75" customHeight="1">
      <c r="A142" t="inlineStr">
        <is>
          <t>頭盔</t>
        </is>
      </c>
      <c r="B142" t="inlineStr">
        <is>
          <t>海盜頭巾</t>
        </is>
      </c>
      <c r="X142" t="n">
        <v>1</v>
      </c>
    </row>
    <row r="143" ht="15.75" customHeight="1">
      <c r="A143" t="inlineStr">
        <is>
          <t>頭盔</t>
        </is>
      </c>
      <c r="B143" t="inlineStr">
        <is>
          <t>海盜頭帶</t>
        </is>
      </c>
      <c r="K143" t="n">
        <v>1</v>
      </c>
      <c r="P143" t="n">
        <v>1</v>
      </c>
    </row>
    <row r="144" ht="15.75" customHeight="1">
      <c r="A144" t="inlineStr">
        <is>
          <t>頭盔</t>
        </is>
      </c>
      <c r="B144" t="inlineStr">
        <is>
          <t>海軍三角帽</t>
        </is>
      </c>
      <c r="C144" t="n">
        <v>2</v>
      </c>
      <c r="F144" t="n">
        <v>1</v>
      </c>
      <c r="G144" t="n">
        <v>1</v>
      </c>
    </row>
    <row r="145" ht="15.75" customHeight="1">
      <c r="A145" t="inlineStr">
        <is>
          <t>頭盔</t>
        </is>
      </c>
      <c r="B145" t="inlineStr">
        <is>
          <t>白銀頭盔</t>
        </is>
      </c>
      <c r="Q145" t="n">
        <v>2</v>
      </c>
      <c r="V145" t="n">
        <v>1</v>
      </c>
    </row>
    <row r="146" ht="15.75" customHeight="1">
      <c r="A146" t="inlineStr">
        <is>
          <t>頭盔</t>
        </is>
      </c>
      <c r="B146" t="inlineStr">
        <is>
          <t>白銀飾頭盔</t>
        </is>
      </c>
      <c r="Q146" t="n">
        <v>2</v>
      </c>
      <c r="R146" t="n">
        <v>1</v>
      </c>
    </row>
    <row r="147" ht="15.75" customHeight="1">
      <c r="A147" t="inlineStr">
        <is>
          <t>頭盔</t>
        </is>
      </c>
      <c r="B147" t="inlineStr">
        <is>
          <t>紅銅頭盔</t>
        </is>
      </c>
      <c r="P147" t="n">
        <v>2</v>
      </c>
      <c r="T147" t="n">
        <v>2</v>
      </c>
    </row>
    <row r="148" ht="15.75" customHeight="1">
      <c r="A148" t="inlineStr">
        <is>
          <t>頭盔</t>
        </is>
      </c>
      <c r="B148" t="inlineStr">
        <is>
          <t>羅洛的頭盔</t>
        </is>
      </c>
      <c r="P148" t="n">
        <v>2</v>
      </c>
      <c r="Q148" t="n">
        <v>1</v>
      </c>
    </row>
    <row r="149" ht="15.75" customHeight="1">
      <c r="A149" t="inlineStr">
        <is>
          <t>頭盔</t>
        </is>
      </c>
      <c r="B149" t="inlineStr">
        <is>
          <t>考古探險家的帽子</t>
        </is>
      </c>
      <c r="Z149" t="n">
        <v>1</v>
      </c>
    </row>
    <row r="150" ht="15.75" customHeight="1">
      <c r="A150" t="inlineStr">
        <is>
          <t>頭盔</t>
        </is>
      </c>
      <c r="B150" t="inlineStr">
        <is>
          <t>航海協會制服帽</t>
        </is>
      </c>
      <c r="Y150" t="n">
        <v>2</v>
      </c>
    </row>
    <row r="151" ht="15.75" customHeight="1">
      <c r="A151" t="inlineStr">
        <is>
          <t>頭盔</t>
        </is>
      </c>
      <c r="B151" t="inlineStr">
        <is>
          <t>英格蘭海軍官帽</t>
        </is>
      </c>
      <c r="C151" t="n">
        <v>2</v>
      </c>
      <c r="F151" t="n">
        <v>2</v>
      </c>
      <c r="J151" t="n">
        <v>1</v>
      </c>
    </row>
    <row r="152" ht="15.75" customHeight="1">
      <c r="A152" t="inlineStr">
        <is>
          <t>頭盔</t>
        </is>
      </c>
      <c r="B152" t="inlineStr">
        <is>
          <t>英格蘭海軍正裝帽</t>
        </is>
      </c>
      <c r="F152" t="n">
        <v>2</v>
      </c>
      <c r="G152" t="n">
        <v>2</v>
      </c>
    </row>
    <row r="153" ht="15.75" customHeight="1">
      <c r="A153" t="inlineStr">
        <is>
          <t>頭盔</t>
        </is>
      </c>
      <c r="B153" t="inlineStr">
        <is>
          <t>莎麗頭巾</t>
        </is>
      </c>
      <c r="Y153" t="n">
        <v>1</v>
      </c>
    </row>
    <row r="154" ht="15.75" customHeight="1">
      <c r="A154" t="inlineStr">
        <is>
          <t>頭盔</t>
        </is>
      </c>
      <c r="B154" t="inlineStr">
        <is>
          <t>葡萄牙海軍官帽</t>
        </is>
      </c>
      <c r="C154" t="n">
        <v>2</v>
      </c>
      <c r="F154" t="n">
        <v>2</v>
      </c>
      <c r="J154" t="n">
        <v>1</v>
      </c>
    </row>
    <row r="155" ht="15.75" customHeight="1">
      <c r="A155" t="inlineStr">
        <is>
          <t>頭盔</t>
        </is>
      </c>
      <c r="B155" t="inlineStr">
        <is>
          <t>葡萄牙海軍正裝帽</t>
        </is>
      </c>
      <c r="F155" t="n">
        <v>2</v>
      </c>
      <c r="G155" t="n">
        <v>2</v>
      </c>
    </row>
    <row r="156" ht="15.75" customHeight="1">
      <c r="A156" t="inlineStr">
        <is>
          <t>頭盔</t>
        </is>
      </c>
      <c r="B156" t="inlineStr">
        <is>
          <t>西庇阿的頭盔</t>
        </is>
      </c>
      <c r="R156" t="n">
        <v>2</v>
      </c>
      <c r="T156" t="n">
        <v>2</v>
      </c>
    </row>
    <row r="157" ht="15.75" customHeight="1">
      <c r="A157" t="inlineStr">
        <is>
          <t>頭盔</t>
        </is>
      </c>
      <c r="B157" t="inlineStr">
        <is>
          <t>西庇阿的頭盔(質變)</t>
        </is>
      </c>
      <c r="L157" t="n">
        <v>2</v>
      </c>
      <c r="M157" t="n">
        <v>2</v>
      </c>
      <c r="R157" t="n">
        <v>2</v>
      </c>
      <c r="T157" t="n">
        <v>2</v>
      </c>
    </row>
    <row r="158" ht="15.75" customHeight="1">
      <c r="A158" t="inlineStr">
        <is>
          <t>頭盔</t>
        </is>
      </c>
      <c r="B158" t="inlineStr">
        <is>
          <t>西班牙海軍官帽</t>
        </is>
      </c>
      <c r="C158" t="n">
        <v>2</v>
      </c>
      <c r="F158" t="n">
        <v>2</v>
      </c>
      <c r="J158" t="n">
        <v>1</v>
      </c>
    </row>
    <row r="159" ht="15.75" customHeight="1">
      <c r="A159" t="inlineStr">
        <is>
          <t>頭盔</t>
        </is>
      </c>
      <c r="B159" t="inlineStr">
        <is>
          <t>西班牙海軍正裝帽</t>
        </is>
      </c>
      <c r="F159" t="n">
        <v>2</v>
      </c>
      <c r="G159" t="n">
        <v>2</v>
      </c>
    </row>
    <row r="160" ht="15.75" customHeight="1">
      <c r="A160" t="inlineStr">
        <is>
          <t>頭盔</t>
        </is>
      </c>
      <c r="B160" t="inlineStr">
        <is>
          <t>角鬥士頭盔</t>
        </is>
      </c>
      <c r="P160" t="n">
        <v>2</v>
      </c>
      <c r="Q160" t="n">
        <v>2</v>
      </c>
      <c r="W160" t="n">
        <v>1</v>
      </c>
    </row>
    <row r="161" ht="15.75" customHeight="1">
      <c r="A161" t="inlineStr">
        <is>
          <t>頭盔</t>
        </is>
      </c>
      <c r="B161" t="inlineStr">
        <is>
          <t>諾曼族頭盔</t>
        </is>
      </c>
      <c r="P161" t="n">
        <v>1</v>
      </c>
      <c r="Q161" t="n">
        <v>1</v>
      </c>
    </row>
    <row r="162" ht="15.75" customHeight="1">
      <c r="A162" t="inlineStr">
        <is>
          <t>頭盔</t>
        </is>
      </c>
      <c r="B162" t="inlineStr">
        <is>
          <t>變色龍</t>
        </is>
      </c>
      <c r="U162" t="n">
        <v>2</v>
      </c>
    </row>
    <row r="163" ht="15.75" customHeight="1">
      <c r="A163" t="inlineStr">
        <is>
          <t>頭盔</t>
        </is>
      </c>
      <c r="B163" t="inlineStr">
        <is>
          <t>鑲金箔頭盔</t>
        </is>
      </c>
      <c r="R163" t="n">
        <v>2</v>
      </c>
      <c r="T163" t="n">
        <v>1</v>
      </c>
    </row>
    <row r="164" ht="15.75" customHeight="1">
      <c r="A164" t="inlineStr">
        <is>
          <t>頭盔</t>
        </is>
      </c>
      <c r="B164" t="inlineStr">
        <is>
          <t>阿拉伯包頭巾</t>
        </is>
      </c>
      <c r="P164" t="n">
        <v>1</v>
      </c>
      <c r="X164" t="n">
        <v>1</v>
      </c>
    </row>
    <row r="165" ht="15.75" customHeight="1">
      <c r="A165" t="inlineStr">
        <is>
          <t>頭盔</t>
        </is>
      </c>
      <c r="B165" t="inlineStr">
        <is>
          <t>阿蒙赫特普三世的頭飾</t>
        </is>
      </c>
      <c r="M165" t="n">
        <v>1</v>
      </c>
      <c r="N165" t="n">
        <v>1</v>
      </c>
      <c r="T165" t="n">
        <v>2</v>
      </c>
    </row>
    <row r="166" ht="15.75" customHeight="1">
      <c r="A166" t="inlineStr">
        <is>
          <t>頭盔</t>
        </is>
      </c>
      <c r="B166" t="inlineStr">
        <is>
          <t>阿蒙赫特普三世的頭飾(質變)</t>
        </is>
      </c>
      <c r="J166" t="n">
        <v>2</v>
      </c>
      <c r="M166" t="n">
        <v>2</v>
      </c>
      <c r="N166" t="n">
        <v>2</v>
      </c>
      <c r="T166" t="n">
        <v>2</v>
      </c>
    </row>
    <row r="167" ht="15.75" customHeight="1">
      <c r="A167" t="inlineStr">
        <is>
          <t>頭盔</t>
        </is>
      </c>
      <c r="B167" t="inlineStr">
        <is>
          <t>高禮帽</t>
        </is>
      </c>
      <c r="T167" t="n">
        <v>1</v>
      </c>
    </row>
    <row r="168" ht="15.75" customHeight="1">
      <c r="A168" t="inlineStr">
        <is>
          <t>頭盔</t>
        </is>
      </c>
      <c r="B168" t="inlineStr">
        <is>
          <t>黑水晶羽盔</t>
        </is>
      </c>
      <c r="C168" t="n">
        <v>1</v>
      </c>
      <c r="G168" t="n">
        <v>1</v>
      </c>
    </row>
    <row r="169" ht="15.75" customHeight="1">
      <c r="A169" s="30" t="inlineStr">
        <is>
          <t>位置</t>
        </is>
      </c>
      <c r="B169" s="31" t="inlineStr">
        <is>
          <t>裝備名稱</t>
        </is>
      </c>
      <c r="C169" s="31" t="inlineStr">
        <is>
          <t>炮術</t>
        </is>
      </c>
      <c r="D169" s="31" t="inlineStr">
        <is>
          <t>水平射擊</t>
        </is>
      </c>
      <c r="E169" s="31" t="inlineStr">
        <is>
          <t>速射</t>
        </is>
      </c>
      <c r="F169" s="31" t="inlineStr">
        <is>
          <t>貫穿</t>
        </is>
      </c>
      <c r="G169" s="31" t="inlineStr">
        <is>
          <t>彈道學</t>
        </is>
      </c>
      <c r="H169" s="31" t="inlineStr">
        <is>
          <t>水雷</t>
        </is>
      </c>
      <c r="I169" s="31" t="inlineStr">
        <is>
          <t>齊射</t>
        </is>
      </c>
      <c r="J169" s="31" t="inlineStr">
        <is>
          <t>修理</t>
        </is>
      </c>
      <c r="K169" s="31" t="inlineStr">
        <is>
          <t>掠奪</t>
        </is>
      </c>
      <c r="L169" s="31" t="inlineStr">
        <is>
          <t>迴避</t>
        </is>
      </c>
      <c r="M169" s="31" t="inlineStr">
        <is>
          <t>應急</t>
        </is>
      </c>
      <c r="N169" s="31" t="inlineStr">
        <is>
          <t>手術</t>
        </is>
      </c>
      <c r="O169" s="31" t="inlineStr">
        <is>
          <t>划船</t>
        </is>
      </c>
      <c r="P169" s="31" t="inlineStr">
        <is>
          <t>劍術</t>
        </is>
      </c>
      <c r="Q169" s="31" t="inlineStr">
        <is>
          <t>突擊</t>
        </is>
      </c>
      <c r="R169" s="31" t="inlineStr">
        <is>
          <t>戰術</t>
        </is>
      </c>
      <c r="S169" s="31" t="inlineStr">
        <is>
          <t>射擊</t>
        </is>
      </c>
      <c r="T169" s="31" t="inlineStr">
        <is>
          <t>防禦</t>
        </is>
      </c>
      <c r="U169" s="31" t="inlineStr">
        <is>
          <t>識破</t>
        </is>
      </c>
      <c r="V169" s="31" t="inlineStr">
        <is>
          <t>猛擊</t>
        </is>
      </c>
      <c r="W169" s="31" t="inlineStr">
        <is>
          <t>迅捷</t>
        </is>
      </c>
      <c r="X169" s="31" t="inlineStr">
        <is>
          <t>接舷</t>
        </is>
      </c>
      <c r="Y169" s="31" t="inlineStr">
        <is>
          <t>操舵</t>
        </is>
      </c>
      <c r="Z169" s="31" t="inlineStr">
        <is>
          <t>搜尋</t>
        </is>
      </c>
    </row>
    <row r="170" ht="15.75" customHeight="1">
      <c r="A170" s="31" t="inlineStr">
        <is>
          <t>衣服</t>
        </is>
      </c>
      <c r="B170" s="31" t="inlineStr">
        <is>
          <t>海軍上將胸甲</t>
        </is>
      </c>
      <c r="C170" s="31" t="n">
        <v>3</v>
      </c>
      <c r="F170" s="31" t="n">
        <v>3</v>
      </c>
      <c r="J170" s="31" t="n">
        <v>2</v>
      </c>
    </row>
    <row r="171" ht="15.75" customHeight="1">
      <c r="A171" s="31" t="inlineStr">
        <is>
          <t>衣服</t>
        </is>
      </c>
      <c r="B171" s="31" t="inlineStr">
        <is>
          <t>提督緊身束衣</t>
        </is>
      </c>
      <c r="C171" s="31" t="n">
        <v>2</v>
      </c>
      <c r="G171" s="31" t="n">
        <v>3</v>
      </c>
      <c r="L171" s="31" t="n">
        <v>1</v>
      </c>
    </row>
    <row r="172" ht="15.75" customHeight="1">
      <c r="A172" s="31" t="inlineStr">
        <is>
          <t>衣服</t>
        </is>
      </c>
      <c r="B172" s="31" t="inlineStr">
        <is>
          <t>提督緊身束衣(質變)</t>
        </is>
      </c>
      <c r="C172" s="31" t="n">
        <v>3</v>
      </c>
      <c r="G172" s="31" t="n">
        <v>3</v>
      </c>
      <c r="L172" s="31" t="n">
        <v>2</v>
      </c>
    </row>
    <row r="173" ht="15.75" customHeight="1">
      <c r="A173" s="31" t="inlineStr">
        <is>
          <t>衣服</t>
        </is>
      </c>
      <c r="B173" s="31" t="inlineStr">
        <is>
          <t>巴夏/寵姬</t>
        </is>
      </c>
      <c r="E173" s="31" t="n">
        <v>3</v>
      </c>
      <c r="I173" s="31" t="n">
        <v>3</v>
      </c>
    </row>
    <row r="174" ht="15.75" customHeight="1">
      <c r="A174" s="31" t="inlineStr">
        <is>
          <t>衣服</t>
        </is>
      </c>
      <c r="B174" s="31" t="inlineStr">
        <is>
          <t>海盜獵手大衣</t>
        </is>
      </c>
      <c r="C174" s="31" t="n">
        <v>3</v>
      </c>
      <c r="G174" s="31" t="n">
        <v>2</v>
      </c>
      <c r="J174" s="31" t="n">
        <v>1</v>
      </c>
    </row>
    <row r="175" ht="15.75" customHeight="1">
      <c r="A175" s="31" t="inlineStr">
        <is>
          <t>衣服</t>
        </is>
      </c>
      <c r="B175" s="32" t="inlineStr">
        <is>
          <t>黑太子盔甲(質變)</t>
        </is>
      </c>
      <c r="T175" s="31" t="n">
        <v>3</v>
      </c>
      <c r="U175" s="31" t="n">
        <v>3</v>
      </c>
      <c r="W175" s="33" t="n">
        <v>3</v>
      </c>
    </row>
    <row r="176" ht="15.75" customHeight="1">
      <c r="A176" s="31" t="inlineStr">
        <is>
          <t>衣服</t>
        </is>
      </c>
      <c r="B176" s="31" t="inlineStr">
        <is>
          <t>黑太子盔甲</t>
        </is>
      </c>
      <c r="T176" s="31" t="n">
        <v>3</v>
      </c>
      <c r="U176" s="31" t="n">
        <v>3</v>
      </c>
      <c r="W176" s="31" t="n">
        <v>2</v>
      </c>
    </row>
    <row r="177" ht="15.75" customHeight="1">
      <c r="A177" s="31" t="inlineStr">
        <is>
          <t>衣服</t>
        </is>
      </c>
      <c r="B177" s="31" t="inlineStr">
        <is>
          <t>威廉/獅心</t>
        </is>
      </c>
      <c r="L177" s="31" t="n">
        <v>2</v>
      </c>
      <c r="P177" s="31" t="n">
        <v>3</v>
      </c>
      <c r="Q177" s="31" t="n">
        <v>3</v>
      </c>
    </row>
    <row r="178" ht="15.75" customHeight="1">
      <c r="A178" s="31" t="inlineStr">
        <is>
          <t>衣服</t>
        </is>
      </c>
      <c r="B178" s="32" t="inlineStr">
        <is>
          <t>亞歷山大大帝的鎧甲(質變)</t>
        </is>
      </c>
      <c r="N178" s="31" t="n">
        <v>3</v>
      </c>
      <c r="Q178" s="31" t="n">
        <v>3</v>
      </c>
      <c r="R178" s="31" t="n">
        <v>2</v>
      </c>
    </row>
    <row r="179" ht="15.75" customHeight="1">
      <c r="A179" s="31" t="inlineStr">
        <is>
          <t>衣服</t>
        </is>
      </c>
      <c r="B179" s="31" t="inlineStr">
        <is>
          <t>亞歷山大大帝的鎧甲</t>
        </is>
      </c>
      <c r="N179" s="31" t="n">
        <v>1</v>
      </c>
      <c r="Q179" s="31" t="n">
        <v>3</v>
      </c>
      <c r="R179" s="31" t="n">
        <v>2</v>
      </c>
    </row>
    <row r="180" ht="15.75" customHeight="1">
      <c r="A180" t="inlineStr">
        <is>
          <t>衣服</t>
        </is>
      </c>
      <c r="B180" t="inlineStr">
        <is>
          <t>凱撒大帝的鎧甲</t>
        </is>
      </c>
      <c r="O180" t="n">
        <v>1</v>
      </c>
      <c r="P180" t="n">
        <v>2</v>
      </c>
      <c r="R180" t="n">
        <v>2</v>
      </c>
    </row>
    <row r="181" ht="15.75" customHeight="1">
      <c r="A181" t="inlineStr">
        <is>
          <t>衣服</t>
        </is>
      </c>
      <c r="B181" t="inlineStr">
        <is>
          <t>凱撒大帝的鎧甲(質變)</t>
        </is>
      </c>
      <c r="O181" t="n">
        <v>2</v>
      </c>
      <c r="P181" t="n">
        <v>2</v>
      </c>
      <c r="R181" t="n">
        <v>2</v>
      </c>
    </row>
    <row r="182" ht="15.75" customHeight="1">
      <c r="A182" t="inlineStr">
        <is>
          <t>衣服</t>
        </is>
      </c>
      <c r="B182" t="inlineStr">
        <is>
          <t>加勒比襯衫</t>
        </is>
      </c>
      <c r="Y182" t="n">
        <v>3</v>
      </c>
    </row>
    <row r="183" ht="15.75" customHeight="1">
      <c r="A183" t="inlineStr">
        <is>
          <t>衣服</t>
        </is>
      </c>
      <c r="B183" t="inlineStr">
        <is>
          <t>印度腰布</t>
        </is>
      </c>
      <c r="M183" t="n">
        <v>2</v>
      </c>
      <c r="T183" t="n">
        <v>3</v>
      </c>
      <c r="V183" t="n">
        <v>2</v>
      </c>
    </row>
    <row r="184" ht="15.75" customHeight="1">
      <c r="A184" t="inlineStr">
        <is>
          <t>衣服</t>
        </is>
      </c>
      <c r="B184" t="inlineStr">
        <is>
          <t>土耳其輕兵甲</t>
        </is>
      </c>
      <c r="L184" t="n">
        <v>1</v>
      </c>
      <c r="X184" t="n">
        <v>1</v>
      </c>
    </row>
    <row r="185" ht="15.75" customHeight="1">
      <c r="A185" t="inlineStr">
        <is>
          <t>衣服</t>
        </is>
      </c>
      <c r="B185" t="inlineStr">
        <is>
          <t>土耳其馬甲</t>
        </is>
      </c>
      <c r="Q185" t="n">
        <v>1</v>
      </c>
    </row>
    <row r="186" ht="15.75" customHeight="1">
      <c r="A186" t="inlineStr">
        <is>
          <t>衣服</t>
        </is>
      </c>
      <c r="B186" t="inlineStr">
        <is>
          <t>威尼斯海軍尉官服</t>
        </is>
      </c>
      <c r="C186" t="n">
        <v>2</v>
      </c>
      <c r="G186" t="n">
        <v>2</v>
      </c>
    </row>
    <row r="187" ht="15.75" customHeight="1">
      <c r="A187" t="inlineStr">
        <is>
          <t>衣服</t>
        </is>
      </c>
      <c r="B187" t="inlineStr">
        <is>
          <t>威尼斯海軍正裝</t>
        </is>
      </c>
      <c r="F187" t="n">
        <v>1</v>
      </c>
      <c r="G187" t="n">
        <v>1</v>
      </c>
    </row>
    <row r="188" ht="15.75" customHeight="1">
      <c r="A188" t="inlineStr">
        <is>
          <t>衣服</t>
        </is>
      </c>
      <c r="B188" t="inlineStr">
        <is>
          <t>威廉元帥的鎧甲</t>
        </is>
      </c>
      <c r="L188" t="n">
        <v>2</v>
      </c>
      <c r="P188" t="n">
        <v>3</v>
      </c>
      <c r="Q188" t="n">
        <v>3</v>
      </c>
    </row>
    <row r="189" ht="15.75" customHeight="1">
      <c r="A189" t="inlineStr">
        <is>
          <t>衣服</t>
        </is>
      </c>
      <c r="B189" t="inlineStr">
        <is>
          <t>寵姬裙裝</t>
        </is>
      </c>
      <c r="E189" t="n">
        <v>3</v>
      </c>
      <c r="I189" t="n">
        <v>3</v>
      </c>
      <c r="O189" t="n">
        <v>2</v>
      </c>
    </row>
    <row r="190" ht="15.75" customHeight="1">
      <c r="A190" t="inlineStr">
        <is>
          <t>衣服</t>
        </is>
      </c>
      <c r="B190" t="inlineStr">
        <is>
          <t>將官軍禮服</t>
        </is>
      </c>
      <c r="C190" t="n">
        <v>2</v>
      </c>
      <c r="G190" t="n">
        <v>2</v>
      </c>
    </row>
    <row r="191" ht="15.75" customHeight="1">
      <c r="A191" t="inlineStr">
        <is>
          <t>衣服</t>
        </is>
      </c>
      <c r="B191" t="inlineStr">
        <is>
          <t>尊貴騎士套裝</t>
        </is>
      </c>
      <c r="F191" t="n">
        <v>2</v>
      </c>
      <c r="J191" t="n">
        <v>1</v>
      </c>
    </row>
    <row r="192" ht="15.75" customHeight="1">
      <c r="A192" t="inlineStr">
        <is>
          <t>衣服</t>
        </is>
      </c>
      <c r="B192" t="inlineStr">
        <is>
          <t>尼德蘭海軍尉官服</t>
        </is>
      </c>
      <c r="C192" t="n">
        <v>2</v>
      </c>
      <c r="G192" t="n">
        <v>2</v>
      </c>
    </row>
    <row r="193" ht="15.75" customHeight="1">
      <c r="A193" t="inlineStr">
        <is>
          <t>衣服</t>
        </is>
      </c>
      <c r="B193" t="inlineStr">
        <is>
          <t>尼德蘭海軍正裝</t>
        </is>
      </c>
      <c r="F193" t="n">
        <v>1</v>
      </c>
      <c r="G193" t="n">
        <v>1</v>
      </c>
    </row>
    <row r="194" ht="15.75" customHeight="1">
      <c r="A194" t="inlineStr">
        <is>
          <t>衣服</t>
        </is>
      </c>
      <c r="B194" t="inlineStr">
        <is>
          <t>巴夏大衣</t>
        </is>
      </c>
      <c r="E194" t="n">
        <v>3</v>
      </c>
      <c r="I194" t="n">
        <v>3</v>
      </c>
      <c r="O194" t="n">
        <v>2</v>
      </c>
    </row>
    <row r="195" ht="15.75" customHeight="1">
      <c r="A195" t="inlineStr">
        <is>
          <t>衣服</t>
        </is>
      </c>
      <c r="B195" t="inlineStr">
        <is>
          <t>幽靈船長的大衣</t>
        </is>
      </c>
      <c r="R195" t="n">
        <v>3</v>
      </c>
      <c r="S195" t="n">
        <v>1</v>
      </c>
      <c r="X195" t="n">
        <v>2</v>
      </c>
    </row>
    <row r="196" ht="15.75" customHeight="1">
      <c r="A196" t="inlineStr">
        <is>
          <t>衣服</t>
        </is>
      </c>
      <c r="B196" t="inlineStr">
        <is>
          <t>康切羅斯用繡花罩衫</t>
        </is>
      </c>
      <c r="M196" t="n">
        <v>3</v>
      </c>
      <c r="W196" t="n">
        <v>2</v>
      </c>
    </row>
    <row r="197" ht="15.75" customHeight="1">
      <c r="A197" t="inlineStr">
        <is>
          <t>衣服</t>
        </is>
      </c>
      <c r="B197" t="inlineStr">
        <is>
          <t>康切羅斯用金飾戰服</t>
        </is>
      </c>
      <c r="M197" t="n">
        <v>3</v>
      </c>
      <c r="W197" t="n">
        <v>2</v>
      </c>
    </row>
    <row r="198" ht="15.75" customHeight="1">
      <c r="A198" t="inlineStr">
        <is>
          <t>衣服</t>
        </is>
      </c>
      <c r="B198" t="inlineStr">
        <is>
          <t>復刻黑太子盔甲</t>
        </is>
      </c>
      <c r="T198" t="n">
        <v>3</v>
      </c>
      <c r="U198" t="n">
        <v>3</v>
      </c>
      <c r="W198" t="n">
        <v>2</v>
      </c>
    </row>
    <row r="199" ht="15.75" customHeight="1">
      <c r="A199" t="inlineStr">
        <is>
          <t>衣服</t>
        </is>
      </c>
      <c r="B199" t="inlineStr">
        <is>
          <t>復刻黑太子盔甲(質變)</t>
        </is>
      </c>
      <c r="T199" t="n">
        <v>3</v>
      </c>
      <c r="U199" t="n">
        <v>3</v>
      </c>
      <c r="W199" t="n">
        <v>3</v>
      </c>
    </row>
    <row r="200" ht="15.75" customHeight="1">
      <c r="A200" t="inlineStr">
        <is>
          <t>衣服</t>
        </is>
      </c>
      <c r="B200" t="inlineStr">
        <is>
          <t>摩拉裝</t>
        </is>
      </c>
      <c r="Y200" t="n">
        <v>3</v>
      </c>
    </row>
    <row r="201" ht="15.75" customHeight="1">
      <c r="A201" t="inlineStr">
        <is>
          <t>衣服</t>
        </is>
      </c>
      <c r="B201" t="inlineStr">
        <is>
          <t>束腰外套</t>
        </is>
      </c>
      <c r="M201" t="n">
        <v>1</v>
      </c>
      <c r="U201" t="n">
        <v>1</v>
      </c>
    </row>
    <row r="202" ht="15.75" customHeight="1">
      <c r="A202" t="inlineStr">
        <is>
          <t>衣服</t>
        </is>
      </c>
      <c r="B202" t="inlineStr">
        <is>
          <t>毛領大衣</t>
        </is>
      </c>
      <c r="P202" t="n">
        <v>1</v>
      </c>
    </row>
    <row r="203" ht="15.75" customHeight="1">
      <c r="A203" t="inlineStr">
        <is>
          <t>衣服</t>
        </is>
      </c>
      <c r="B203" t="inlineStr">
        <is>
          <t>法蘭西海軍尉官服</t>
        </is>
      </c>
      <c r="C203" t="n">
        <v>2</v>
      </c>
      <c r="G203" t="n">
        <v>2</v>
      </c>
    </row>
    <row r="204" ht="15.75" customHeight="1">
      <c r="A204" t="inlineStr">
        <is>
          <t>衣服</t>
        </is>
      </c>
      <c r="B204" t="inlineStr">
        <is>
          <t>法蘭西海軍正裝</t>
        </is>
      </c>
      <c r="F204" t="n">
        <v>1</v>
      </c>
      <c r="G204" t="n">
        <v>1</v>
      </c>
    </row>
    <row r="205" ht="15.75" customHeight="1">
      <c r="A205" t="inlineStr">
        <is>
          <t>衣服</t>
        </is>
      </c>
      <c r="B205" t="inlineStr">
        <is>
          <t>波斯裙裝</t>
        </is>
      </c>
      <c r="J205" t="n">
        <v>2</v>
      </c>
      <c r="K205" t="n">
        <v>1</v>
      </c>
      <c r="L205" t="n">
        <v>2</v>
      </c>
      <c r="N205" t="n">
        <v>2</v>
      </c>
    </row>
    <row r="206" ht="15.75" customHeight="1">
      <c r="A206" t="inlineStr">
        <is>
          <t>衣服</t>
        </is>
      </c>
      <c r="B206" t="inlineStr">
        <is>
          <t>海民鎧甲</t>
        </is>
      </c>
      <c r="T206" t="n">
        <v>2</v>
      </c>
      <c r="Y206" t="n">
        <v>1</v>
      </c>
    </row>
    <row r="207" ht="15.75" customHeight="1">
      <c r="A207" t="inlineStr">
        <is>
          <t>衣服</t>
        </is>
      </c>
      <c r="B207" t="inlineStr">
        <is>
          <t>海盜大衣</t>
        </is>
      </c>
      <c r="R207" t="n">
        <v>3</v>
      </c>
      <c r="S207" t="n">
        <v>1</v>
      </c>
      <c r="X207" t="n">
        <v>2</v>
      </c>
    </row>
    <row r="208" ht="15.75" customHeight="1">
      <c r="A208" t="inlineStr">
        <is>
          <t>衣服</t>
        </is>
      </c>
      <c r="B208" t="inlineStr">
        <is>
          <t>海盜馬甲</t>
        </is>
      </c>
      <c r="Q208" t="n">
        <v>1</v>
      </c>
    </row>
    <row r="209" ht="15.75" customHeight="1">
      <c r="A209" t="inlineStr">
        <is>
          <t>衣服</t>
        </is>
      </c>
      <c r="B209" t="inlineStr">
        <is>
          <t>無情者半身甲</t>
        </is>
      </c>
      <c r="P209" t="n">
        <v>2</v>
      </c>
      <c r="Q209" t="n">
        <v>2</v>
      </c>
    </row>
    <row r="210" ht="15.75" customHeight="1">
      <c r="A210" t="inlineStr">
        <is>
          <t>衣服</t>
        </is>
      </c>
      <c r="B210" t="inlineStr">
        <is>
          <t>獅心王的盔甲</t>
        </is>
      </c>
      <c r="L210" t="n">
        <v>2</v>
      </c>
      <c r="P210" t="n">
        <v>3</v>
      </c>
      <c r="Q210" t="n">
        <v>3</v>
      </c>
    </row>
    <row r="211" ht="15.75" customHeight="1">
      <c r="A211" t="inlineStr">
        <is>
          <t>衣服</t>
        </is>
      </c>
      <c r="B211" t="inlineStr">
        <is>
          <t>環球航者女袍</t>
        </is>
      </c>
      <c r="Y211" t="n">
        <v>2</v>
      </c>
    </row>
    <row r="212" ht="15.75" customHeight="1">
      <c r="A212" t="inlineStr">
        <is>
          <t>衣服</t>
        </is>
      </c>
      <c r="B212" t="inlineStr">
        <is>
          <t>環球航者斗篷</t>
        </is>
      </c>
      <c r="Y212" t="n">
        <v>2</v>
      </c>
    </row>
    <row r="213" ht="15.75" customHeight="1">
      <c r="A213" t="inlineStr">
        <is>
          <t>衣服</t>
        </is>
      </c>
      <c r="B213" t="inlineStr">
        <is>
          <t>白銀鎧甲</t>
        </is>
      </c>
      <c r="P213" t="n">
        <v>2</v>
      </c>
      <c r="Q213" t="n">
        <v>2</v>
      </c>
    </row>
    <row r="214" ht="15.75" customHeight="1">
      <c r="A214" t="inlineStr">
        <is>
          <t>衣服</t>
        </is>
      </c>
      <c r="B214" t="inlineStr">
        <is>
          <t>祭服</t>
        </is>
      </c>
      <c r="Z214" t="n">
        <v>1</v>
      </c>
    </row>
    <row r="215" ht="15.75" customHeight="1">
      <c r="A215" t="inlineStr">
        <is>
          <t>衣服</t>
        </is>
      </c>
      <c r="B215" t="inlineStr">
        <is>
          <t>精煉鋼製盔甲</t>
        </is>
      </c>
      <c r="M215" t="n">
        <v>2</v>
      </c>
      <c r="T215" t="n">
        <v>2</v>
      </c>
      <c r="W215" t="n">
        <v>2</v>
      </c>
    </row>
    <row r="216" ht="15.75" customHeight="1">
      <c r="A216" t="inlineStr">
        <is>
          <t>衣服</t>
        </is>
      </c>
      <c r="B216" t="inlineStr">
        <is>
          <t>精英海軍制服</t>
        </is>
      </c>
      <c r="F216" t="n">
        <v>1</v>
      </c>
      <c r="G216" t="n">
        <v>1</v>
      </c>
    </row>
    <row r="217" ht="15.75" customHeight="1">
      <c r="A217" t="inlineStr">
        <is>
          <t>衣服</t>
        </is>
      </c>
      <c r="B217" t="inlineStr">
        <is>
          <t>維京海盜盔甲</t>
        </is>
      </c>
      <c r="P217" t="n">
        <v>1</v>
      </c>
      <c r="Q217" t="n">
        <v>2</v>
      </c>
    </row>
    <row r="218" ht="15.75" customHeight="1">
      <c r="A218" t="inlineStr">
        <is>
          <t>衣服</t>
        </is>
      </c>
      <c r="B218" t="inlineStr">
        <is>
          <t>綴織襯衫</t>
        </is>
      </c>
      <c r="U218" t="n">
        <v>2</v>
      </c>
      <c r="W218" t="n">
        <v>3</v>
      </c>
    </row>
    <row r="219" ht="15.75" customHeight="1">
      <c r="A219" t="inlineStr">
        <is>
          <t>衣服</t>
        </is>
      </c>
      <c r="B219" t="inlineStr">
        <is>
          <t>胸甲</t>
        </is>
      </c>
      <c r="M219" t="n">
        <v>1</v>
      </c>
      <c r="T219" t="n">
        <v>1</v>
      </c>
    </row>
    <row r="220" ht="15.75" customHeight="1">
      <c r="A220" t="inlineStr">
        <is>
          <t>衣服</t>
        </is>
      </c>
      <c r="B220" t="inlineStr">
        <is>
          <t>航海者女袍</t>
        </is>
      </c>
      <c r="Y220" t="n">
        <v>2</v>
      </c>
    </row>
    <row r="221" ht="15.75" customHeight="1">
      <c r="A221" t="inlineStr">
        <is>
          <t>衣服</t>
        </is>
      </c>
      <c r="B221" t="inlineStr">
        <is>
          <t>航海者斗篷</t>
        </is>
      </c>
      <c r="Y221" t="n">
        <v>2</v>
      </c>
    </row>
    <row r="222" ht="15.75" customHeight="1">
      <c r="A222" t="inlineStr">
        <is>
          <t>衣服</t>
        </is>
      </c>
      <c r="B222" t="inlineStr">
        <is>
          <t>艦隊指揮官胸甲</t>
        </is>
      </c>
      <c r="C222" t="n">
        <v>3</v>
      </c>
      <c r="F222" t="n">
        <v>3</v>
      </c>
      <c r="J222" t="n">
        <v>2</v>
      </c>
    </row>
    <row r="223" ht="15.75" customHeight="1">
      <c r="A223" t="inlineStr">
        <is>
          <t>衣服</t>
        </is>
      </c>
      <c r="B223" t="inlineStr">
        <is>
          <t>英格蘭海軍尉官服</t>
        </is>
      </c>
      <c r="C223" t="n">
        <v>2</v>
      </c>
      <c r="G223" t="n">
        <v>2</v>
      </c>
    </row>
    <row r="224" ht="15.75" customHeight="1">
      <c r="A224" t="inlineStr">
        <is>
          <t>衣服</t>
        </is>
      </c>
      <c r="B224" t="inlineStr">
        <is>
          <t>英格蘭海軍正裝</t>
        </is>
      </c>
      <c r="F224" t="n">
        <v>1</v>
      </c>
      <c r="G224" t="n">
        <v>1</v>
      </c>
    </row>
    <row r="225" ht="15.75" customHeight="1">
      <c r="A225" t="inlineStr">
        <is>
          <t>衣服</t>
        </is>
      </c>
      <c r="B225" t="inlineStr">
        <is>
          <t>葡萄牙海軍尉官服</t>
        </is>
      </c>
      <c r="C225" t="n">
        <v>2</v>
      </c>
      <c r="G225" t="n">
        <v>2</v>
      </c>
    </row>
    <row r="226" ht="15.75" customHeight="1">
      <c r="A226" t="inlineStr">
        <is>
          <t>衣服</t>
        </is>
      </c>
      <c r="B226" t="inlineStr">
        <is>
          <t>葡萄牙海軍正裝</t>
        </is>
      </c>
      <c r="F226" t="n">
        <v>1</v>
      </c>
      <c r="G226" t="n">
        <v>1</v>
      </c>
    </row>
    <row r="227" ht="15.75" customHeight="1">
      <c r="A227" t="inlineStr">
        <is>
          <t>衣服</t>
        </is>
      </c>
      <c r="B227" t="inlineStr">
        <is>
          <t>襯甲衣</t>
        </is>
      </c>
      <c r="W227" t="n">
        <v>1</v>
      </c>
    </row>
    <row r="228" ht="15.75" customHeight="1">
      <c r="A228" t="inlineStr">
        <is>
          <t>衣服</t>
        </is>
      </c>
      <c r="B228" t="inlineStr">
        <is>
          <t>襯裙</t>
        </is>
      </c>
      <c r="W228" t="n">
        <v>1</v>
      </c>
    </row>
    <row r="229" ht="15.75" customHeight="1">
      <c r="A229" t="inlineStr">
        <is>
          <t>衣服</t>
        </is>
      </c>
      <c r="B229" t="inlineStr">
        <is>
          <t>西班牙海軍尉官服</t>
        </is>
      </c>
      <c r="C229" t="n">
        <v>2</v>
      </c>
      <c r="G229" t="n">
        <v>2</v>
      </c>
    </row>
    <row r="230" ht="15.75" customHeight="1">
      <c r="A230" t="inlineStr">
        <is>
          <t>衣服</t>
        </is>
      </c>
      <c r="B230" t="inlineStr">
        <is>
          <t>西班牙海軍正裝</t>
        </is>
      </c>
      <c r="F230" t="n">
        <v>1</v>
      </c>
      <c r="G230" t="n">
        <v>1</v>
      </c>
    </row>
    <row r="231" ht="15.75" customHeight="1">
      <c r="A231" t="inlineStr">
        <is>
          <t>衣服</t>
        </is>
      </c>
      <c r="B231" t="inlineStr">
        <is>
          <t>迦爾納的黃金鎧甲</t>
        </is>
      </c>
      <c r="M231" t="n">
        <v>3</v>
      </c>
      <c r="S231" t="n">
        <v>3</v>
      </c>
      <c r="T231" t="n">
        <v>2</v>
      </c>
    </row>
    <row r="232" ht="15.75" customHeight="1">
      <c r="A232" t="inlineStr">
        <is>
          <t>衣服</t>
        </is>
      </c>
      <c r="B232" t="inlineStr">
        <is>
          <t>金屬盔甲</t>
        </is>
      </c>
      <c r="R232" t="n">
        <v>1</v>
      </c>
      <c r="T232" t="n">
        <v>2</v>
      </c>
    </row>
    <row r="233" ht="15.75" customHeight="1">
      <c r="A233" t="inlineStr">
        <is>
          <t>衣服</t>
        </is>
      </c>
      <c r="B233" t="inlineStr">
        <is>
          <t>鎏金米蘭板甲</t>
        </is>
      </c>
      <c r="R233" t="n">
        <v>2</v>
      </c>
      <c r="T233" t="n">
        <v>2</v>
      </c>
    </row>
    <row r="234" ht="15.75" customHeight="1">
      <c r="A234" t="inlineStr">
        <is>
          <t>衣服</t>
        </is>
      </c>
      <c r="B234" t="inlineStr">
        <is>
          <t>鑲金箔盔甲</t>
        </is>
      </c>
      <c r="R234" t="n">
        <v>2</v>
      </c>
      <c r="T234" t="n">
        <v>2</v>
      </c>
    </row>
    <row r="235" ht="15.75" customHeight="1">
      <c r="A235" t="inlineStr">
        <is>
          <t>衣服</t>
        </is>
      </c>
      <c r="B235" t="inlineStr">
        <is>
          <t>阿拉伯海盜衫</t>
        </is>
      </c>
      <c r="J235" t="n">
        <v>2</v>
      </c>
      <c r="K235" t="n">
        <v>1</v>
      </c>
      <c r="L235" t="n">
        <v>2</v>
      </c>
      <c r="N235" t="n">
        <v>2</v>
      </c>
    </row>
    <row r="236" ht="15.75" customHeight="1">
      <c r="A236" t="inlineStr">
        <is>
          <t>衣服</t>
        </is>
      </c>
      <c r="B236" t="inlineStr">
        <is>
          <t>青銅盔甲</t>
        </is>
      </c>
      <c r="T236" t="n">
        <v>2</v>
      </c>
    </row>
    <row r="237" ht="15.75" customHeight="1">
      <c r="A237" t="inlineStr">
        <is>
          <t>衣服</t>
        </is>
      </c>
      <c r="B237" t="inlineStr">
        <is>
          <t>騎士套裝</t>
        </is>
      </c>
      <c r="F237" t="n">
        <v>2</v>
      </c>
      <c r="J237" t="n">
        <v>1</v>
      </c>
    </row>
    <row r="238" ht="15.75" customHeight="1">
      <c r="A238" t="inlineStr">
        <is>
          <t>衣服</t>
        </is>
      </c>
      <c r="B238" t="inlineStr">
        <is>
          <t>騎士胸甲</t>
        </is>
      </c>
      <c r="M238" t="n">
        <v>1</v>
      </c>
      <c r="T238" t="n">
        <v>1</v>
      </c>
    </row>
    <row r="239" ht="15.75" customHeight="1">
      <c r="A239" t="inlineStr">
        <is>
          <t>衣服</t>
        </is>
      </c>
      <c r="B239" t="inlineStr">
        <is>
          <t>騎士軍禮服</t>
        </is>
      </c>
      <c r="C239" t="n">
        <v>1</v>
      </c>
      <c r="P239" t="n">
        <v>1</v>
      </c>
    </row>
    <row r="240" ht="15.75" customHeight="1">
      <c r="A240" t="inlineStr">
        <is>
          <t>衣服</t>
        </is>
      </c>
      <c r="B240" t="inlineStr">
        <is>
          <t>鬥牛甲衣</t>
        </is>
      </c>
      <c r="T240" t="n">
        <v>1</v>
      </c>
    </row>
    <row r="241" ht="15.75" customHeight="1">
      <c r="A241" t="inlineStr">
        <is>
          <t>衣服</t>
        </is>
      </c>
      <c r="B241" t="inlineStr">
        <is>
          <t>黑貂毛領大衣</t>
        </is>
      </c>
      <c r="P241" t="n">
        <v>1</v>
      </c>
    </row>
    <row r="242" ht="15.75" customHeight="1">
      <c r="A242" s="30" t="inlineStr">
        <is>
          <t>位置</t>
        </is>
      </c>
      <c r="B242" s="31" t="inlineStr">
        <is>
          <t>裝備名稱</t>
        </is>
      </c>
      <c r="C242" s="31" t="inlineStr">
        <is>
          <t>炮術</t>
        </is>
      </c>
      <c r="D242" s="31" t="inlineStr">
        <is>
          <t>水平射擊</t>
        </is>
      </c>
      <c r="E242" s="31" t="inlineStr">
        <is>
          <t>速射</t>
        </is>
      </c>
      <c r="F242" s="31" t="inlineStr">
        <is>
          <t>貫穿</t>
        </is>
      </c>
      <c r="G242" s="31" t="inlineStr">
        <is>
          <t>彈道學</t>
        </is>
      </c>
      <c r="H242" s="31" t="inlineStr">
        <is>
          <t>水雷</t>
        </is>
      </c>
      <c r="I242" s="31" t="inlineStr">
        <is>
          <t>齊射</t>
        </is>
      </c>
      <c r="J242" s="31" t="inlineStr">
        <is>
          <t>修理</t>
        </is>
      </c>
      <c r="K242" s="31" t="inlineStr">
        <is>
          <t>掠奪</t>
        </is>
      </c>
      <c r="L242" s="31" t="inlineStr">
        <is>
          <t>迴避</t>
        </is>
      </c>
      <c r="M242" s="31" t="inlineStr">
        <is>
          <t>應急</t>
        </is>
      </c>
      <c r="N242" s="31" t="inlineStr">
        <is>
          <t>手術</t>
        </is>
      </c>
      <c r="O242" s="31" t="inlineStr">
        <is>
          <t>划船</t>
        </is>
      </c>
      <c r="P242" s="31" t="inlineStr">
        <is>
          <t>劍術</t>
        </is>
      </c>
      <c r="Q242" s="31" t="inlineStr">
        <is>
          <t>突擊</t>
        </is>
      </c>
      <c r="R242" s="31" t="inlineStr">
        <is>
          <t>戰術</t>
        </is>
      </c>
      <c r="S242" s="31" t="inlineStr">
        <is>
          <t>射擊</t>
        </is>
      </c>
      <c r="T242" s="31" t="inlineStr">
        <is>
          <t>防禦</t>
        </is>
      </c>
      <c r="U242" s="31" t="inlineStr">
        <is>
          <t>識破</t>
        </is>
      </c>
      <c r="V242" s="31" t="inlineStr">
        <is>
          <t>猛擊</t>
        </is>
      </c>
      <c r="W242" s="31" t="inlineStr">
        <is>
          <t>迅捷</t>
        </is>
      </c>
      <c r="X242" s="31" t="inlineStr">
        <is>
          <t>接舷</t>
        </is>
      </c>
      <c r="Y242" s="31" t="inlineStr">
        <is>
          <t>操舵</t>
        </is>
      </c>
      <c r="Z242" s="31" t="inlineStr">
        <is>
          <t>搜尋</t>
        </is>
      </c>
    </row>
    <row r="243" ht="15.75" customHeight="1">
      <c r="A243" s="31" t="inlineStr">
        <is>
          <t>手套</t>
        </is>
      </c>
      <c r="B243" s="31" t="inlineStr">
        <is>
          <t>司令官手套</t>
        </is>
      </c>
      <c r="D243" s="31" t="n">
        <v>1</v>
      </c>
      <c r="E243" s="31" t="n">
        <v>2</v>
      </c>
      <c r="H243" s="31" t="n">
        <v>3</v>
      </c>
    </row>
    <row r="244" ht="15.75" customHeight="1">
      <c r="A244" s="31" t="inlineStr">
        <is>
          <t>手套</t>
        </is>
      </c>
      <c r="B244" s="31" t="inlineStr">
        <is>
          <t>司令官手套(質變)</t>
        </is>
      </c>
      <c r="D244" s="31" t="n">
        <v>2</v>
      </c>
      <c r="E244" s="31" t="n">
        <v>2</v>
      </c>
      <c r="H244" s="31" t="n">
        <v>3</v>
      </c>
    </row>
    <row r="245" ht="15.75" customHeight="1">
      <c r="A245" s="31" t="inlineStr">
        <is>
          <t>手套</t>
        </is>
      </c>
      <c r="B245" s="31" t="inlineStr">
        <is>
          <t>將官守護手套</t>
        </is>
      </c>
      <c r="D245" s="31" t="n">
        <v>2</v>
      </c>
      <c r="E245" s="31" t="n">
        <v>2</v>
      </c>
    </row>
    <row r="246" ht="15.75" customHeight="1">
      <c r="A246" s="31" t="inlineStr">
        <is>
          <t>手套</t>
        </is>
      </c>
      <c r="B246" s="32" t="inlineStr">
        <is>
          <t>將官守護手套(質變)</t>
        </is>
      </c>
      <c r="C246" s="31" t="n">
        <v>2</v>
      </c>
      <c r="D246" s="31" t="n">
        <v>2</v>
      </c>
      <c r="E246" s="31" t="n">
        <v>2</v>
      </c>
    </row>
    <row r="247" ht="15.75" customHeight="1">
      <c r="A247" s="31" t="inlineStr">
        <is>
          <t>手套</t>
        </is>
      </c>
      <c r="B247" s="32" t="inlineStr">
        <is>
          <t>守護手套(質變)</t>
        </is>
      </c>
      <c r="M247" s="33" t="n">
        <v>2</v>
      </c>
      <c r="P247" s="31" t="n">
        <v>3</v>
      </c>
      <c r="V247" s="31" t="n">
        <v>2</v>
      </c>
    </row>
    <row r="248" ht="15.75" customHeight="1">
      <c r="A248" s="31" t="inlineStr">
        <is>
          <t>手套</t>
        </is>
      </c>
      <c r="B248" s="31" t="inlineStr">
        <is>
          <t>守護手套</t>
        </is>
      </c>
      <c r="M248" s="31" t="n">
        <v>1</v>
      </c>
      <c r="P248" s="31" t="n">
        <v>3</v>
      </c>
      <c r="V248" s="31" t="n">
        <v>2</v>
      </c>
    </row>
    <row r="249" ht="15.75" customHeight="1">
      <c r="A249" s="31" t="inlineStr">
        <is>
          <t>手套</t>
        </is>
      </c>
      <c r="B249" s="31" t="inlineStr">
        <is>
          <t>領袖手套</t>
        </is>
      </c>
      <c r="K249" s="31" t="n">
        <v>1</v>
      </c>
      <c r="S249" s="31" t="n">
        <v>2</v>
      </c>
      <c r="T249" s="31" t="n">
        <v>3</v>
      </c>
    </row>
    <row r="250" ht="15.75" customHeight="1">
      <c r="A250" s="31" t="inlineStr">
        <is>
          <t>手套</t>
        </is>
      </c>
      <c r="B250" s="32" t="inlineStr">
        <is>
          <t>精英手套(質變)</t>
        </is>
      </c>
      <c r="K250" s="31" t="n"/>
      <c r="M250" t="n">
        <v>2</v>
      </c>
      <c r="S250" s="31" t="n">
        <v>2</v>
      </c>
      <c r="T250" s="31" t="n">
        <v>2</v>
      </c>
    </row>
    <row r="251" ht="15.75" customHeight="1">
      <c r="A251" t="inlineStr">
        <is>
          <t>手套</t>
        </is>
      </c>
      <c r="B251" t="inlineStr">
        <is>
          <t>兩分手套</t>
        </is>
      </c>
      <c r="P251" t="n">
        <v>1</v>
      </c>
    </row>
    <row r="252" ht="15.75" customHeight="1">
      <c r="A252" t="inlineStr">
        <is>
          <t>手套</t>
        </is>
      </c>
      <c r="B252" t="inlineStr">
        <is>
          <t>威尼斯海軍白手套</t>
        </is>
      </c>
      <c r="H252" t="n">
        <v>2</v>
      </c>
      <c r="I252" t="n">
        <v>1</v>
      </c>
    </row>
    <row r="253" ht="15.75" customHeight="1">
      <c r="A253" t="inlineStr">
        <is>
          <t>手套</t>
        </is>
      </c>
      <c r="B253" t="inlineStr">
        <is>
          <t>將官鎖鏈手套</t>
        </is>
      </c>
      <c r="K253" t="n">
        <v>1</v>
      </c>
      <c r="O253" t="n">
        <v>1</v>
      </c>
      <c r="R253" t="n">
        <v>2</v>
      </c>
    </row>
    <row r="254" ht="15.75" customHeight="1">
      <c r="A254" t="inlineStr">
        <is>
          <t>手套</t>
        </is>
      </c>
      <c r="B254" t="inlineStr">
        <is>
          <t>尼德蘭海軍白手套</t>
        </is>
      </c>
      <c r="H254" t="n">
        <v>2</v>
      </c>
      <c r="I254" t="n">
        <v>1</v>
      </c>
    </row>
    <row r="255" ht="15.75" customHeight="1">
      <c r="A255" t="inlineStr">
        <is>
          <t>手套</t>
        </is>
      </c>
      <c r="B255" t="inlineStr">
        <is>
          <t>指引的手套</t>
        </is>
      </c>
      <c r="Z255" t="n">
        <v>1</v>
      </c>
    </row>
    <row r="256" ht="15.75" customHeight="1">
      <c r="A256" t="inlineStr">
        <is>
          <t>手套</t>
        </is>
      </c>
      <c r="B256" t="inlineStr">
        <is>
          <t>指引者手套</t>
        </is>
      </c>
      <c r="Y256" t="n">
        <v>2</v>
      </c>
    </row>
    <row r="257" ht="15.75" customHeight="1">
      <c r="A257" t="inlineStr">
        <is>
          <t>手套</t>
        </is>
      </c>
      <c r="B257" t="inlineStr">
        <is>
          <t>指引者手套(質變)</t>
        </is>
      </c>
      <c r="Y257" t="n">
        <v>2</v>
      </c>
    </row>
    <row r="258" ht="15.75" customHeight="1">
      <c r="A258" t="inlineStr">
        <is>
          <t>手套</t>
        </is>
      </c>
      <c r="B258" t="inlineStr">
        <is>
          <t>法蘭西海軍白手套</t>
        </is>
      </c>
      <c r="H258" t="n">
        <v>2</v>
      </c>
      <c r="I258" t="n">
        <v>1</v>
      </c>
    </row>
    <row r="259" ht="15.75" customHeight="1">
      <c r="A259" t="inlineStr">
        <is>
          <t>手套</t>
        </is>
      </c>
      <c r="B259" t="inlineStr">
        <is>
          <t>海藍手套</t>
        </is>
      </c>
      <c r="P259" t="n">
        <v>2</v>
      </c>
      <c r="V259" t="n">
        <v>1</v>
      </c>
    </row>
    <row r="260" ht="15.75" customHeight="1">
      <c r="A260" t="inlineStr">
        <is>
          <t>手套</t>
        </is>
      </c>
      <c r="B260" t="inlineStr">
        <is>
          <t>獵人手套</t>
        </is>
      </c>
      <c r="P260" t="n">
        <v>2</v>
      </c>
      <c r="S260" t="n">
        <v>1</v>
      </c>
      <c r="U260" t="n">
        <v>1</v>
      </c>
    </row>
    <row r="261" ht="15.75" customHeight="1">
      <c r="A261" t="inlineStr">
        <is>
          <t>手套</t>
        </is>
      </c>
      <c r="B261" t="inlineStr">
        <is>
          <t>白銀製手套</t>
        </is>
      </c>
      <c r="I261" t="n">
        <v>2</v>
      </c>
      <c r="J261" t="n">
        <v>2</v>
      </c>
    </row>
    <row r="262" ht="15.75" customHeight="1">
      <c r="A262" t="inlineStr">
        <is>
          <t>手套</t>
        </is>
      </c>
      <c r="B262" t="inlineStr">
        <is>
          <t>福爾班手套</t>
        </is>
      </c>
      <c r="K262" t="n">
        <v>1</v>
      </c>
      <c r="X262" t="n">
        <v>2</v>
      </c>
    </row>
    <row r="263" ht="15.75" customHeight="1">
      <c r="A263" t="inlineStr">
        <is>
          <t>手套</t>
        </is>
      </c>
      <c r="B263" t="inlineStr">
        <is>
          <t>精英手套</t>
        </is>
      </c>
      <c r="M263" t="n">
        <v>1</v>
      </c>
      <c r="S263" t="n">
        <v>1</v>
      </c>
      <c r="T263" t="n">
        <v>2</v>
      </c>
    </row>
    <row r="264" ht="15.75" customHeight="1">
      <c r="A264" t="inlineStr">
        <is>
          <t>手套</t>
        </is>
      </c>
      <c r="B264" t="inlineStr">
        <is>
          <t>紅銅製手套</t>
        </is>
      </c>
      <c r="T264" t="n">
        <v>1</v>
      </c>
      <c r="X264" t="n">
        <v>1</v>
      </c>
    </row>
    <row r="265" ht="15.75" customHeight="1">
      <c r="A265" t="inlineStr">
        <is>
          <t>手套</t>
        </is>
      </c>
      <c r="B265" t="inlineStr">
        <is>
          <t>英格蘭海軍白手套</t>
        </is>
      </c>
      <c r="H265" t="n">
        <v>2</v>
      </c>
      <c r="I265" t="n">
        <v>1</v>
      </c>
    </row>
    <row r="266" ht="15.75" customHeight="1">
      <c r="A266" t="inlineStr">
        <is>
          <t>手套</t>
        </is>
      </c>
      <c r="B266" t="inlineStr">
        <is>
          <t>葡萄牙海軍白手套</t>
        </is>
      </c>
      <c r="H266" t="n">
        <v>2</v>
      </c>
      <c r="I266" t="n">
        <v>1</v>
      </c>
    </row>
    <row r="267" ht="15.75" customHeight="1">
      <c r="A267" t="inlineStr">
        <is>
          <t>手套</t>
        </is>
      </c>
      <c r="B267" t="inlineStr">
        <is>
          <t>西班牙海軍白手套</t>
        </is>
      </c>
      <c r="H267" t="n">
        <v>2</v>
      </c>
      <c r="I267" t="n">
        <v>1</v>
      </c>
    </row>
    <row r="268" ht="15.75" customHeight="1">
      <c r="A268" t="inlineStr">
        <is>
          <t>手套</t>
        </is>
      </c>
      <c r="B268" t="inlineStr">
        <is>
          <t>鐵手套</t>
        </is>
      </c>
      <c r="J268" t="n">
        <v>1</v>
      </c>
    </row>
    <row r="269" ht="15.75" customHeight="1">
      <c r="A269" t="inlineStr">
        <is>
          <t>手套</t>
        </is>
      </c>
      <c r="B269" t="inlineStr">
        <is>
          <t>青銅製手套</t>
        </is>
      </c>
      <c r="E269" t="n">
        <v>1</v>
      </c>
      <c r="H269" t="n">
        <v>1</v>
      </c>
    </row>
    <row r="270" ht="15.75" customHeight="1">
      <c r="A270" t="inlineStr">
        <is>
          <t>手套</t>
        </is>
      </c>
      <c r="B270" t="inlineStr">
        <is>
          <t>騎士手套</t>
        </is>
      </c>
      <c r="P270" t="n">
        <v>2</v>
      </c>
      <c r="R270" t="n">
        <v>1</v>
      </c>
    </row>
    <row r="271" ht="15.75" customHeight="1">
      <c r="A271" s="30" t="inlineStr">
        <is>
          <t>位置</t>
        </is>
      </c>
      <c r="B271" s="31" t="inlineStr">
        <is>
          <t>裝備名稱</t>
        </is>
      </c>
      <c r="C271" s="31" t="inlineStr">
        <is>
          <t>炮術</t>
        </is>
      </c>
      <c r="D271" s="31" t="inlineStr">
        <is>
          <t>水平射擊</t>
        </is>
      </c>
      <c r="E271" s="31" t="inlineStr">
        <is>
          <t>速射</t>
        </is>
      </c>
      <c r="F271" s="31" t="inlineStr">
        <is>
          <t>貫穿</t>
        </is>
      </c>
      <c r="G271" s="31" t="inlineStr">
        <is>
          <t>彈道學</t>
        </is>
      </c>
      <c r="H271" s="31" t="inlineStr">
        <is>
          <t>水雷</t>
        </is>
      </c>
      <c r="I271" s="31" t="inlineStr">
        <is>
          <t>齊射</t>
        </is>
      </c>
      <c r="J271" s="31" t="inlineStr">
        <is>
          <t>修理</t>
        </is>
      </c>
      <c r="K271" s="31" t="inlineStr">
        <is>
          <t>掠奪</t>
        </is>
      </c>
      <c r="L271" s="31" t="inlineStr">
        <is>
          <t>迴避</t>
        </is>
      </c>
      <c r="M271" s="31" t="inlineStr">
        <is>
          <t>應急</t>
        </is>
      </c>
      <c r="N271" s="31" t="inlineStr">
        <is>
          <t>手術</t>
        </is>
      </c>
      <c r="O271" s="31" t="inlineStr">
        <is>
          <t>划船</t>
        </is>
      </c>
      <c r="P271" s="31" t="inlineStr">
        <is>
          <t>劍術</t>
        </is>
      </c>
      <c r="Q271" s="31" t="inlineStr">
        <is>
          <t>突擊</t>
        </is>
      </c>
      <c r="R271" s="31" t="inlineStr">
        <is>
          <t>戰術</t>
        </is>
      </c>
      <c r="S271" s="31" t="inlineStr">
        <is>
          <t>射擊</t>
        </is>
      </c>
      <c r="T271" s="31" t="inlineStr">
        <is>
          <t>防禦</t>
        </is>
      </c>
      <c r="U271" s="31" t="inlineStr">
        <is>
          <t>識破</t>
        </is>
      </c>
      <c r="V271" s="31" t="inlineStr">
        <is>
          <t>猛擊</t>
        </is>
      </c>
      <c r="W271" s="31" t="inlineStr">
        <is>
          <t>迅捷</t>
        </is>
      </c>
      <c r="X271" s="31" t="inlineStr">
        <is>
          <t>接舷</t>
        </is>
      </c>
      <c r="Y271" s="31" t="inlineStr">
        <is>
          <t>操舵</t>
        </is>
      </c>
      <c r="Z271" s="31" t="inlineStr">
        <is>
          <t>搜尋</t>
        </is>
      </c>
    </row>
    <row r="272" ht="15.75" customHeight="1">
      <c r="A272" s="31" t="inlineStr">
        <is>
          <t>鞋子</t>
        </is>
      </c>
      <c r="B272" s="31" t="inlineStr">
        <is>
          <t>提督長筒靴</t>
        </is>
      </c>
      <c r="E272" s="31" t="n">
        <v>2</v>
      </c>
      <c r="H272" s="31" t="n">
        <v>2</v>
      </c>
      <c r="I272" s="31" t="n">
        <v>1</v>
      </c>
    </row>
    <row r="273" ht="15.75" customHeight="1">
      <c r="A273" s="31" t="inlineStr">
        <is>
          <t>鞋子</t>
        </is>
      </c>
      <c r="B273" s="31" t="inlineStr">
        <is>
          <t>提督長筒靴(質變)</t>
        </is>
      </c>
      <c r="E273" s="31" t="n">
        <v>2</v>
      </c>
      <c r="H273" s="31" t="n">
        <v>2</v>
      </c>
      <c r="I273" s="31" t="n">
        <v>2</v>
      </c>
    </row>
    <row r="274" ht="15.75" customHeight="1">
      <c r="A274" s="31" t="inlineStr">
        <is>
          <t>鞋子</t>
        </is>
      </c>
      <c r="B274" s="31" t="inlineStr">
        <is>
          <t>將官長筒靴</t>
        </is>
      </c>
      <c r="H274" s="31" t="n">
        <v>2</v>
      </c>
      <c r="I274" s="31" t="n">
        <v>2</v>
      </c>
    </row>
    <row r="275" ht="15.75" customHeight="1">
      <c r="A275" s="31" t="inlineStr">
        <is>
          <t>鞋子</t>
        </is>
      </c>
      <c r="B275" s="31" t="inlineStr">
        <is>
          <t>海盜獵手鞋</t>
        </is>
      </c>
      <c r="H275" s="31" t="n">
        <v>2</v>
      </c>
      <c r="I275" s="31" t="n">
        <v>2</v>
      </c>
      <c r="L275" s="31" t="n">
        <v>1</v>
      </c>
    </row>
    <row r="276" ht="15.75" customHeight="1">
      <c r="A276" s="31" t="inlineStr">
        <is>
          <t>鞋子</t>
        </is>
      </c>
      <c r="B276" s="31" t="inlineStr">
        <is>
          <t>海盜皮靴</t>
        </is>
      </c>
      <c r="K276" s="31" t="n">
        <v>1</v>
      </c>
      <c r="S276" s="31" t="n">
        <v>2</v>
      </c>
      <c r="X276" s="31" t="n">
        <v>3</v>
      </c>
    </row>
    <row r="277" ht="15.75" customHeight="1">
      <c r="A277" s="31" t="inlineStr">
        <is>
          <t>鞋子</t>
        </is>
      </c>
      <c r="B277" s="32" t="inlineStr">
        <is>
          <t>領袖戰靴(質變)</t>
        </is>
      </c>
      <c r="K277" s="31" t="n"/>
      <c r="L277" t="n">
        <v>2</v>
      </c>
      <c r="P277" t="n">
        <v>2</v>
      </c>
      <c r="R277" t="n">
        <v>2</v>
      </c>
      <c r="S277" s="31" t="n"/>
      <c r="X277" s="31" t="n"/>
    </row>
    <row r="278" ht="15.75" customHeight="1">
      <c r="A278" t="inlineStr">
        <is>
          <t>鞋子</t>
        </is>
      </c>
      <c r="B278" t="inlineStr">
        <is>
          <t>加勒比涼鞋</t>
        </is>
      </c>
      <c r="W278" t="n">
        <v>2</v>
      </c>
    </row>
    <row r="279" ht="15.75" customHeight="1">
      <c r="A279" t="inlineStr">
        <is>
          <t>鞋子</t>
        </is>
      </c>
      <c r="B279" t="inlineStr">
        <is>
          <t>夏季水手鞋</t>
        </is>
      </c>
      <c r="Y279" t="n">
        <v>1</v>
      </c>
    </row>
    <row r="280" ht="15.75" customHeight="1">
      <c r="A280" t="inlineStr">
        <is>
          <t>鞋子</t>
        </is>
      </c>
      <c r="B280" t="inlineStr">
        <is>
          <t>尖頭鐵甲靴</t>
        </is>
      </c>
      <c r="D280" t="n">
        <v>1</v>
      </c>
      <c r="J280" t="n">
        <v>1</v>
      </c>
    </row>
    <row r="281" ht="15.75" customHeight="1">
      <c r="A281" t="inlineStr">
        <is>
          <t>鞋子</t>
        </is>
      </c>
      <c r="B281" t="inlineStr">
        <is>
          <t>幽靈船長的皮靴</t>
        </is>
      </c>
      <c r="K281" t="n">
        <v>1</v>
      </c>
      <c r="S281" t="n">
        <v>2</v>
      </c>
      <c r="X281" t="n">
        <v>3</v>
      </c>
    </row>
    <row r="282" ht="15.75" customHeight="1">
      <c r="A282" t="inlineStr">
        <is>
          <t>鞋子</t>
        </is>
      </c>
      <c r="B282" t="inlineStr">
        <is>
          <t>指引的長靴</t>
        </is>
      </c>
      <c r="M282" t="n">
        <v>2</v>
      </c>
    </row>
    <row r="283" ht="15.75" customHeight="1">
      <c r="A283" t="inlineStr">
        <is>
          <t>鞋子</t>
        </is>
      </c>
      <c r="B283" t="inlineStr">
        <is>
          <t>指引者長靴</t>
        </is>
      </c>
      <c r="U283" t="n">
        <v>1</v>
      </c>
      <c r="W283" t="n">
        <v>2</v>
      </c>
    </row>
    <row r="284" ht="15.75" customHeight="1">
      <c r="A284" t="inlineStr">
        <is>
          <t>鞋子</t>
        </is>
      </c>
      <c r="B284" t="inlineStr">
        <is>
          <t>旅人鞋子</t>
        </is>
      </c>
      <c r="W284" t="n">
        <v>1</v>
      </c>
    </row>
    <row r="285" ht="15.75" customHeight="1">
      <c r="A285" t="inlineStr">
        <is>
          <t>鞋子</t>
        </is>
      </c>
      <c r="B285" t="inlineStr">
        <is>
          <t>水手皮靴</t>
        </is>
      </c>
      <c r="J285" t="n">
        <v>1</v>
      </c>
    </row>
    <row r="286" ht="15.75" customHeight="1">
      <c r="A286" t="inlineStr">
        <is>
          <t>鞋子</t>
        </is>
      </c>
      <c r="B286" t="inlineStr">
        <is>
          <t>海軍公用鞋</t>
        </is>
      </c>
      <c r="J286" t="n">
        <v>2</v>
      </c>
    </row>
    <row r="287" ht="15.75" customHeight="1">
      <c r="A287" t="inlineStr">
        <is>
          <t>鞋子</t>
        </is>
      </c>
      <c r="B287" t="inlineStr">
        <is>
          <t>深紅靴子</t>
        </is>
      </c>
      <c r="D287" t="n">
        <v>2</v>
      </c>
      <c r="G287" t="n">
        <v>1</v>
      </c>
    </row>
    <row r="288" ht="15.75" customHeight="1">
      <c r="A288" t="inlineStr">
        <is>
          <t>鞋子</t>
        </is>
      </c>
      <c r="B288" t="inlineStr">
        <is>
          <t>白銀製戰靴</t>
        </is>
      </c>
      <c r="P288" t="n">
        <v>1</v>
      </c>
      <c r="X288" t="n">
        <v>1</v>
      </c>
    </row>
    <row r="289" ht="15.75" customHeight="1">
      <c r="A289" t="inlineStr">
        <is>
          <t>鞋子</t>
        </is>
      </c>
      <c r="B289" t="inlineStr">
        <is>
          <t>皮靴</t>
        </is>
      </c>
      <c r="L289" t="n">
        <v>1</v>
      </c>
    </row>
    <row r="290" ht="15.75" customHeight="1">
      <c r="A290" t="inlineStr">
        <is>
          <t>鞋子</t>
        </is>
      </c>
      <c r="B290" t="inlineStr">
        <is>
          <t>皮鞋</t>
        </is>
      </c>
      <c r="M290" t="n">
        <v>1</v>
      </c>
    </row>
    <row r="291" ht="15.75" customHeight="1">
      <c r="A291" t="inlineStr">
        <is>
          <t>鞋子</t>
        </is>
      </c>
      <c r="B291" t="inlineStr">
        <is>
          <t>福爾班靴</t>
        </is>
      </c>
      <c r="O291" t="n">
        <v>1</v>
      </c>
      <c r="X291" t="n">
        <v>2</v>
      </c>
    </row>
    <row r="292" ht="15.75" customHeight="1">
      <c r="A292" t="inlineStr">
        <is>
          <t>鞋子</t>
        </is>
      </c>
      <c r="B292" t="inlineStr">
        <is>
          <t>赫爾梅斯之靴</t>
        </is>
      </c>
      <c r="W292" t="n">
        <v>3</v>
      </c>
    </row>
    <row r="293" ht="15.75" customHeight="1">
      <c r="A293" t="inlineStr">
        <is>
          <t>鞋子</t>
        </is>
      </c>
      <c r="B293" t="inlineStr">
        <is>
          <t>遠足短靴</t>
        </is>
      </c>
      <c r="W293" t="n">
        <v>2</v>
      </c>
    </row>
    <row r="294" ht="15.75" customHeight="1">
      <c r="A294" t="inlineStr">
        <is>
          <t>鞋子</t>
        </is>
      </c>
      <c r="B294" t="inlineStr">
        <is>
          <t>阿拉伯皮鞋</t>
        </is>
      </c>
      <c r="W294" t="n">
        <v>2</v>
      </c>
    </row>
    <row r="295" ht="15.75" customHeight="1">
      <c r="A295" t="inlineStr">
        <is>
          <t>鞋子</t>
        </is>
      </c>
      <c r="B295" t="inlineStr">
        <is>
          <t>雪地皮靴</t>
        </is>
      </c>
      <c r="W295" t="n">
        <v>2</v>
      </c>
    </row>
    <row r="296" ht="15.75" customHeight="1">
      <c r="A296" t="inlineStr">
        <is>
          <t>鞋子</t>
        </is>
      </c>
      <c r="B296" t="inlineStr">
        <is>
          <t>領袖戰靴</t>
        </is>
      </c>
      <c r="L296" t="n">
        <v>2</v>
      </c>
      <c r="P296" t="n">
        <v>2</v>
      </c>
    </row>
    <row r="297" ht="15.75" customHeight="1">
      <c r="A297" t="inlineStr">
        <is>
          <t>鞋子</t>
        </is>
      </c>
      <c r="B297" t="inlineStr">
        <is>
          <t>馬靴</t>
        </is>
      </c>
      <c r="H297" t="n">
        <v>1</v>
      </c>
    </row>
    <row r="298" ht="15.75" customHeight="1">
      <c r="A298" t="inlineStr">
        <is>
          <t>鞋子</t>
        </is>
      </c>
      <c r="B298" t="inlineStr">
        <is>
          <t>騎士鐵甲靴</t>
        </is>
      </c>
      <c r="E298" t="n">
        <v>1</v>
      </c>
    </row>
    <row r="299" ht="15.75" customHeight="1">
      <c r="A299" t="inlineStr">
        <is>
          <t>鞋子</t>
        </is>
      </c>
      <c r="B299" t="inlineStr">
        <is>
          <t>高腰長筒靴</t>
        </is>
      </c>
      <c r="V299" t="n">
        <v>1</v>
      </c>
      <c r="W299" t="n">
        <v>1</v>
      </c>
    </row>
    <row r="300" ht="15.75" customHeight="1">
      <c r="A300" s="31" t="inlineStr">
        <is>
          <t>位置</t>
        </is>
      </c>
      <c r="B300" s="31" t="inlineStr">
        <is>
          <t>職業名稱</t>
        </is>
      </c>
      <c r="C300" s="31" t="inlineStr">
        <is>
          <t>炮術</t>
        </is>
      </c>
      <c r="D300" s="31" t="inlineStr">
        <is>
          <t>水平射擊</t>
        </is>
      </c>
      <c r="E300" s="31" t="inlineStr">
        <is>
          <t>速射</t>
        </is>
      </c>
      <c r="F300" s="31" t="inlineStr">
        <is>
          <t>貫穿</t>
        </is>
      </c>
      <c r="G300" s="31" t="inlineStr">
        <is>
          <t>彈道學</t>
        </is>
      </c>
      <c r="H300" s="31" t="inlineStr">
        <is>
          <t>水雷</t>
        </is>
      </c>
      <c r="I300" s="31" t="inlineStr">
        <is>
          <t>齊射</t>
        </is>
      </c>
      <c r="J300" s="31" t="inlineStr">
        <is>
          <t>修理</t>
        </is>
      </c>
      <c r="K300" s="31" t="inlineStr">
        <is>
          <t>掠奪</t>
        </is>
      </c>
      <c r="L300" s="31" t="inlineStr">
        <is>
          <t>迴避</t>
        </is>
      </c>
      <c r="M300" s="31" t="inlineStr">
        <is>
          <t>應急</t>
        </is>
      </c>
      <c r="N300" s="31" t="inlineStr">
        <is>
          <t>手術</t>
        </is>
      </c>
      <c r="O300" s="31" t="inlineStr">
        <is>
          <t>划船</t>
        </is>
      </c>
      <c r="P300" s="31" t="inlineStr">
        <is>
          <t>劍術</t>
        </is>
      </c>
      <c r="Q300" s="31" t="inlineStr">
        <is>
          <t>突擊</t>
        </is>
      </c>
      <c r="R300" s="31" t="inlineStr">
        <is>
          <t>戰術</t>
        </is>
      </c>
      <c r="S300" s="31" t="inlineStr">
        <is>
          <t>射擊</t>
        </is>
      </c>
      <c r="T300" s="31" t="inlineStr">
        <is>
          <t>防禦</t>
        </is>
      </c>
      <c r="U300" s="31" t="inlineStr">
        <is>
          <t>識破</t>
        </is>
      </c>
      <c r="V300" s="31" t="inlineStr">
        <is>
          <t>猛擊</t>
        </is>
      </c>
      <c r="W300" s="31" t="inlineStr">
        <is>
          <t>迅捷</t>
        </is>
      </c>
      <c r="X300" s="31" t="inlineStr">
        <is>
          <t>接舷</t>
        </is>
      </c>
      <c r="Y300" s="31" t="inlineStr">
        <is>
          <t>操舵</t>
        </is>
      </c>
      <c r="Z300" s="31" t="inlineStr">
        <is>
          <t>搜尋</t>
        </is>
      </c>
    </row>
    <row r="301" ht="15.75" customHeight="1">
      <c r="A301" s="31" t="inlineStr">
        <is>
          <t>職業</t>
        </is>
      </c>
      <c r="B301" s="32" t="inlineStr">
        <is>
          <t>大提督/打撈者</t>
        </is>
      </c>
      <c r="D301" s="31" t="n">
        <v>1</v>
      </c>
      <c r="F301" s="31" t="n">
        <v>1</v>
      </c>
      <c r="Y301" t="n">
        <v>1</v>
      </c>
    </row>
    <row r="302" ht="15.75" customHeight="1">
      <c r="A302" s="31" t="inlineStr">
        <is>
          <t>職業</t>
        </is>
      </c>
      <c r="B302" s="32" t="inlineStr">
        <is>
          <t>大提督</t>
        </is>
      </c>
      <c r="D302" s="31" t="n">
        <v>1</v>
      </c>
      <c r="F302" s="31" t="n">
        <v>1</v>
      </c>
    </row>
    <row r="303" ht="15.75" customHeight="1">
      <c r="A303" s="31" t="inlineStr">
        <is>
          <t>職業</t>
        </is>
      </c>
      <c r="B303" s="31" t="inlineStr">
        <is>
          <t>高階指揮官</t>
        </is>
      </c>
      <c r="H303" s="31" t="n">
        <v>1</v>
      </c>
      <c r="I303" s="31" t="n">
        <v>1</v>
      </c>
    </row>
    <row r="304" ht="15.75" customHeight="1">
      <c r="A304" s="31" t="inlineStr">
        <is>
          <t>職業</t>
        </is>
      </c>
      <c r="B304" s="31" t="inlineStr">
        <is>
          <t>大海盜</t>
        </is>
      </c>
      <c r="K304" s="31" t="n">
        <v>1</v>
      </c>
      <c r="Q304" s="31" t="n">
        <v>1</v>
      </c>
    </row>
    <row r="305" ht="15.75" customHeight="1">
      <c r="A305" s="31" t="inlineStr">
        <is>
          <t>職業</t>
        </is>
      </c>
      <c r="B305" s="31" t="inlineStr">
        <is>
          <t>海軍陸戰隊</t>
        </is>
      </c>
      <c r="P305" s="31" t="n">
        <v>1</v>
      </c>
      <c r="R305" s="31" t="n">
        <v>1</v>
      </c>
    </row>
    <row r="306" ht="15.75" customHeight="1">
      <c r="A306" s="31" t="inlineStr">
        <is>
          <t>職業</t>
        </is>
      </c>
      <c r="B306" s="31" t="inlineStr">
        <is>
          <t>遊俠</t>
        </is>
      </c>
      <c r="U306" s="31" t="n">
        <v>1</v>
      </c>
      <c r="V306" s="31" t="n">
        <v>1</v>
      </c>
    </row>
    <row r="307" ht="15.75" customHeight="1">
      <c r="A307" s="31" t="inlineStr">
        <is>
          <t>職業</t>
        </is>
      </c>
      <c r="B307" s="31" t="inlineStr">
        <is>
          <t>打撈者</t>
        </is>
      </c>
      <c r="Y307" s="31" t="n">
        <v>1</v>
      </c>
    </row>
    <row r="308" ht="15.75" customHeight="1">
      <c r="A308" s="31" t="inlineStr">
        <is>
          <t>職業</t>
        </is>
      </c>
      <c r="B308" s="31" t="inlineStr">
        <is>
          <t>大提督/海軍陸戰隊</t>
        </is>
      </c>
      <c r="D308" s="31" t="n">
        <v>1</v>
      </c>
      <c r="F308" s="31" t="n">
        <v>1</v>
      </c>
      <c r="P308" s="31" t="n">
        <v>1</v>
      </c>
      <c r="R308" s="31" t="n">
        <v>1</v>
      </c>
    </row>
    <row r="309" ht="15.75" customHeight="1">
      <c r="A309" s="31" t="inlineStr">
        <is>
          <t>職業</t>
        </is>
      </c>
      <c r="B309" s="31" t="inlineStr">
        <is>
          <t>大海盜/海軍陸戰隊</t>
        </is>
      </c>
      <c r="K309" s="31" t="n">
        <v>1</v>
      </c>
      <c r="P309" s="31" t="n">
        <v>1</v>
      </c>
      <c r="Q309" s="31" t="n">
        <v>1</v>
      </c>
      <c r="R309" s="31" t="n">
        <v>1</v>
      </c>
    </row>
    <row r="310" ht="15.75" customHeight="1">
      <c r="A310" s="31" t="inlineStr">
        <is>
          <t>職業</t>
        </is>
      </c>
      <c r="B310" s="31" t="inlineStr">
        <is>
          <t>高階指揮/海軍陸戰</t>
        </is>
      </c>
      <c r="H310" s="31" t="n">
        <v>1</v>
      </c>
      <c r="I310" s="31" t="n">
        <v>1</v>
      </c>
      <c r="P310" s="31" t="n">
        <v>1</v>
      </c>
      <c r="R310" s="31" t="n">
        <v>1</v>
      </c>
    </row>
    <row r="311" ht="15.75" customHeight="1">
      <c r="A311" s="31" t="inlineStr">
        <is>
          <t>職業</t>
        </is>
      </c>
      <c r="B311" s="31" t="inlineStr">
        <is>
          <t>大海盜/藥劑師/遊俠</t>
        </is>
      </c>
      <c r="K311" s="31" t="n">
        <v>1</v>
      </c>
      <c r="Q311" s="31" t="n">
        <v>1</v>
      </c>
      <c r="U311" s="31" t="n">
        <v>1</v>
      </c>
      <c r="V311" s="31" t="n">
        <v>1</v>
      </c>
    </row>
    <row r="312" ht="15.75" customHeight="1"/>
    <row r="313" ht="15.75" customHeight="1">
      <c r="A313" s="31" t="inlineStr">
        <is>
          <t>位置</t>
        </is>
      </c>
      <c r="C313" s="31" t="inlineStr">
        <is>
          <t>炮術</t>
        </is>
      </c>
      <c r="D313" s="31" t="inlineStr">
        <is>
          <t>水平射擊</t>
        </is>
      </c>
      <c r="E313" s="31" t="inlineStr">
        <is>
          <t>速射</t>
        </is>
      </c>
      <c r="F313" s="31" t="inlineStr">
        <is>
          <t>貫穿</t>
        </is>
      </c>
      <c r="G313" s="31" t="inlineStr">
        <is>
          <t>彈道學</t>
        </is>
      </c>
      <c r="H313" s="31" t="inlineStr">
        <is>
          <t>水雷</t>
        </is>
      </c>
      <c r="I313" s="31" t="inlineStr">
        <is>
          <t>齊射</t>
        </is>
      </c>
      <c r="J313" s="31" t="inlineStr">
        <is>
          <t>修理</t>
        </is>
      </c>
      <c r="K313" s="31" t="inlineStr">
        <is>
          <t>掠奪</t>
        </is>
      </c>
      <c r="L313" s="31" t="inlineStr">
        <is>
          <t>迴避</t>
        </is>
      </c>
      <c r="M313" s="31" t="inlineStr">
        <is>
          <t>應急</t>
        </is>
      </c>
      <c r="N313" s="31" t="inlineStr">
        <is>
          <t>手術</t>
        </is>
      </c>
      <c r="O313" s="31" t="inlineStr">
        <is>
          <t>划船</t>
        </is>
      </c>
      <c r="P313" s="31" t="inlineStr">
        <is>
          <t>劍術</t>
        </is>
      </c>
      <c r="Q313" s="31" t="inlineStr">
        <is>
          <t>突擊</t>
        </is>
      </c>
      <c r="R313" s="31" t="inlineStr">
        <is>
          <t>戰術</t>
        </is>
      </c>
      <c r="S313" s="31" t="inlineStr">
        <is>
          <t>射擊</t>
        </is>
      </c>
      <c r="T313" s="31" t="inlineStr">
        <is>
          <t>防禦</t>
        </is>
      </c>
      <c r="U313" s="31" t="inlineStr">
        <is>
          <t>識破</t>
        </is>
      </c>
      <c r="V313" s="31" t="inlineStr">
        <is>
          <t>猛擊</t>
        </is>
      </c>
      <c r="W313" s="31" t="inlineStr">
        <is>
          <t>迅捷</t>
        </is>
      </c>
      <c r="X313" s="31" t="inlineStr">
        <is>
          <t>接舷</t>
        </is>
      </c>
      <c r="Y313" s="31" t="inlineStr">
        <is>
          <t>操舵</t>
        </is>
      </c>
      <c r="Z313" s="31" t="inlineStr">
        <is>
          <t>搜尋</t>
        </is>
      </c>
    </row>
    <row r="314" ht="15.75" customHeight="1">
      <c r="A314" s="31" t="inlineStr">
        <is>
          <t>角色上限</t>
        </is>
      </c>
      <c r="B314" s="32" t="inlineStr">
        <is>
          <t>大提督/打撈者</t>
        </is>
      </c>
      <c r="C314" s="31" t="n">
        <v>15</v>
      </c>
      <c r="D314" s="31" t="n">
        <v>15</v>
      </c>
      <c r="E314" s="31" t="n">
        <v>15</v>
      </c>
      <c r="F314" s="31" t="n">
        <v>15</v>
      </c>
      <c r="G314" s="31" t="n">
        <v>15</v>
      </c>
      <c r="H314" s="31" t="n">
        <v>10</v>
      </c>
      <c r="I314" s="31" t="n">
        <v>10</v>
      </c>
      <c r="J314" s="31" t="n">
        <v>15</v>
      </c>
      <c r="K314" s="31" t="n">
        <v>10</v>
      </c>
      <c r="L314" s="31" t="n">
        <v>10</v>
      </c>
      <c r="M314" s="31" t="n">
        <v>10</v>
      </c>
      <c r="N314" s="31" t="n">
        <v>10</v>
      </c>
      <c r="O314" s="31" t="n">
        <v>10</v>
      </c>
      <c r="P314" s="31" t="n">
        <v>10</v>
      </c>
      <c r="Q314" s="31" t="n">
        <v>10</v>
      </c>
      <c r="R314" s="31" t="n">
        <v>15</v>
      </c>
      <c r="S314" s="31" t="n">
        <v>10</v>
      </c>
      <c r="T314" s="31" t="n">
        <v>10</v>
      </c>
      <c r="U314" s="31" t="n">
        <v>10</v>
      </c>
      <c r="V314" s="31" t="n">
        <v>10</v>
      </c>
      <c r="W314" s="31" t="n">
        <v>10</v>
      </c>
      <c r="X314" s="31" t="n">
        <v>10</v>
      </c>
      <c r="Y314" s="31" t="n">
        <v>15</v>
      </c>
      <c r="Z314" s="31" t="n">
        <v>10</v>
      </c>
    </row>
    <row r="315" ht="15.75" customHeight="1">
      <c r="B315" s="32" t="inlineStr">
        <is>
          <t>大提督</t>
        </is>
      </c>
      <c r="C315" s="31" t="n">
        <v>15</v>
      </c>
      <c r="D315" s="31" t="n">
        <v>15</v>
      </c>
      <c r="E315" s="31" t="n">
        <v>15</v>
      </c>
      <c r="F315" s="31" t="n">
        <v>15</v>
      </c>
      <c r="G315" s="31" t="n">
        <v>15</v>
      </c>
      <c r="H315" s="31" t="n">
        <v>10</v>
      </c>
      <c r="I315" s="31" t="n">
        <v>10</v>
      </c>
      <c r="J315" s="31" t="n">
        <v>15</v>
      </c>
      <c r="K315" s="31" t="n">
        <v>10</v>
      </c>
      <c r="L315" s="31" t="n">
        <v>10</v>
      </c>
      <c r="M315" s="31" t="n">
        <v>10</v>
      </c>
      <c r="N315" s="31" t="n">
        <v>10</v>
      </c>
      <c r="O315" s="31" t="n">
        <v>10</v>
      </c>
      <c r="P315" s="31" t="n">
        <v>10</v>
      </c>
      <c r="Q315" s="31" t="n">
        <v>10</v>
      </c>
      <c r="R315" s="31" t="n">
        <v>15</v>
      </c>
      <c r="S315" s="31" t="n">
        <v>10</v>
      </c>
      <c r="T315" s="31" t="n">
        <v>10</v>
      </c>
      <c r="U315" s="31" t="n">
        <v>10</v>
      </c>
      <c r="V315" s="31" t="n">
        <v>10</v>
      </c>
      <c r="W315" s="31" t="n">
        <v>10</v>
      </c>
      <c r="X315" s="31" t="n">
        <v>10</v>
      </c>
      <c r="Y315" s="31" t="n">
        <v>10</v>
      </c>
      <c r="Z315" s="31" t="n">
        <v>10</v>
      </c>
    </row>
    <row r="316" ht="15.75" customHeight="1">
      <c r="B316" s="31" t="inlineStr">
        <is>
          <t>高階指揮官</t>
        </is>
      </c>
      <c r="C316" s="31" t="n">
        <v>15</v>
      </c>
      <c r="D316" s="31" t="n">
        <v>10</v>
      </c>
      <c r="E316" s="31" t="n">
        <v>10</v>
      </c>
      <c r="F316" s="31" t="n">
        <v>10</v>
      </c>
      <c r="G316" s="31" t="n">
        <v>15</v>
      </c>
      <c r="H316" s="31" t="n">
        <v>15</v>
      </c>
      <c r="I316" s="31" t="n">
        <v>15</v>
      </c>
      <c r="J316" s="31" t="n">
        <v>10</v>
      </c>
      <c r="K316" s="31" t="n">
        <v>10</v>
      </c>
      <c r="L316" s="31" t="n">
        <v>15</v>
      </c>
      <c r="M316" s="31" t="n">
        <v>10</v>
      </c>
      <c r="N316" s="31" t="n">
        <v>10</v>
      </c>
      <c r="O316" s="31" t="n">
        <v>10</v>
      </c>
      <c r="P316" s="31" t="n">
        <v>10</v>
      </c>
      <c r="Q316" s="31" t="n">
        <v>10</v>
      </c>
      <c r="R316" s="31" t="n">
        <v>10</v>
      </c>
      <c r="S316" s="31" t="n">
        <v>15</v>
      </c>
      <c r="T316" s="31" t="n">
        <v>10</v>
      </c>
      <c r="U316" s="31" t="n">
        <v>10</v>
      </c>
      <c r="V316" s="31" t="n">
        <v>10</v>
      </c>
      <c r="W316" s="31" t="n">
        <v>10</v>
      </c>
      <c r="X316" s="31" t="n">
        <v>15</v>
      </c>
      <c r="Y316" s="31" t="n">
        <v>10</v>
      </c>
      <c r="Z316" s="31" t="n">
        <v>10</v>
      </c>
    </row>
    <row r="317" ht="15.75" customHeight="1">
      <c r="B317" s="31" t="inlineStr">
        <is>
          <t>大海盜</t>
        </is>
      </c>
      <c r="C317" s="31" t="n">
        <v>10</v>
      </c>
      <c r="D317" s="31" t="n">
        <v>15</v>
      </c>
      <c r="E317" s="31" t="n">
        <v>10</v>
      </c>
      <c r="F317" s="31" t="n">
        <v>10</v>
      </c>
      <c r="G317" s="31" t="n">
        <v>10</v>
      </c>
      <c r="H317" s="31" t="n">
        <v>10</v>
      </c>
      <c r="I317" s="31" t="n">
        <v>10</v>
      </c>
      <c r="J317" s="31" t="n">
        <v>10</v>
      </c>
      <c r="K317" s="31" t="n">
        <v>15</v>
      </c>
      <c r="L317" s="31" t="n">
        <v>15</v>
      </c>
      <c r="M317" s="31" t="n">
        <v>10</v>
      </c>
      <c r="N317" s="31" t="n">
        <v>10</v>
      </c>
      <c r="O317" s="31" t="n">
        <v>15</v>
      </c>
      <c r="P317" s="31" t="n">
        <v>15</v>
      </c>
      <c r="Q317" s="31" t="n">
        <v>15</v>
      </c>
      <c r="R317" s="31" t="n">
        <v>10</v>
      </c>
      <c r="S317" s="31" t="n">
        <v>10</v>
      </c>
      <c r="T317" s="31" t="n">
        <v>10</v>
      </c>
      <c r="U317" s="31" t="n">
        <v>10</v>
      </c>
      <c r="V317" s="31" t="n">
        <v>10</v>
      </c>
      <c r="W317" s="31" t="n">
        <v>10</v>
      </c>
      <c r="X317" s="31" t="n">
        <v>15</v>
      </c>
      <c r="Y317" s="31" t="n">
        <v>15</v>
      </c>
      <c r="Z317" s="31" t="n">
        <v>10</v>
      </c>
    </row>
    <row r="318" ht="15.75" customHeight="1">
      <c r="B318" s="31" t="inlineStr">
        <is>
          <t>海軍陸戰隊</t>
        </is>
      </c>
      <c r="C318" s="31" t="n">
        <v>10</v>
      </c>
      <c r="D318" s="31" t="n">
        <v>10</v>
      </c>
      <c r="E318" s="31" t="n">
        <v>10</v>
      </c>
      <c r="F318" s="31" t="n">
        <v>10</v>
      </c>
      <c r="G318" s="31" t="n">
        <v>10</v>
      </c>
      <c r="H318" s="31" t="n">
        <v>10</v>
      </c>
      <c r="I318" s="31" t="n">
        <v>10</v>
      </c>
      <c r="J318" s="31" t="n">
        <v>10</v>
      </c>
      <c r="K318" s="31" t="n">
        <v>10</v>
      </c>
      <c r="L318" s="31" t="n">
        <v>10</v>
      </c>
      <c r="M318" s="31" t="n">
        <v>15</v>
      </c>
      <c r="N318" s="31" t="n">
        <v>15</v>
      </c>
      <c r="O318" s="31" t="n">
        <v>10</v>
      </c>
      <c r="P318" s="31" t="n">
        <v>15</v>
      </c>
      <c r="Q318" s="31" t="n">
        <v>15</v>
      </c>
      <c r="R318" s="31" t="n">
        <v>15</v>
      </c>
      <c r="S318" s="31" t="n">
        <v>15</v>
      </c>
      <c r="T318" s="31" t="n">
        <v>15</v>
      </c>
      <c r="U318" s="31" t="n">
        <v>10</v>
      </c>
      <c r="V318" s="31" t="n">
        <v>10</v>
      </c>
      <c r="W318" s="31" t="n">
        <v>10</v>
      </c>
      <c r="X318" s="31" t="n">
        <v>10</v>
      </c>
      <c r="Y318" s="31" t="n">
        <v>10</v>
      </c>
      <c r="Z318" s="31" t="n">
        <v>10</v>
      </c>
    </row>
    <row r="319" ht="15.75" customHeight="1">
      <c r="B319" s="31" t="inlineStr">
        <is>
          <t>遊俠</t>
        </is>
      </c>
      <c r="C319" s="31" t="n">
        <v>10</v>
      </c>
      <c r="D319" s="31" t="n">
        <v>10</v>
      </c>
      <c r="E319" s="31" t="n">
        <v>10</v>
      </c>
      <c r="F319" s="31" t="n">
        <v>10</v>
      </c>
      <c r="G319" s="31" t="n">
        <v>10</v>
      </c>
      <c r="H319" s="31" t="n">
        <v>10</v>
      </c>
      <c r="I319" s="31" t="n">
        <v>10</v>
      </c>
      <c r="J319" s="31" t="n">
        <v>10</v>
      </c>
      <c r="K319" s="31" t="n">
        <v>10</v>
      </c>
      <c r="L319" s="31" t="n">
        <v>10</v>
      </c>
      <c r="M319" s="31" t="n">
        <v>15</v>
      </c>
      <c r="N319" s="31" t="n">
        <v>10</v>
      </c>
      <c r="O319" s="31" t="n">
        <v>10</v>
      </c>
      <c r="P319" s="31" t="n">
        <v>15</v>
      </c>
      <c r="Q319" s="31" t="n">
        <v>15</v>
      </c>
      <c r="R319" s="31" t="n">
        <v>15</v>
      </c>
      <c r="S319" s="31" t="n">
        <v>15</v>
      </c>
      <c r="T319" s="31" t="n">
        <v>15</v>
      </c>
      <c r="U319" s="31" t="n">
        <v>15</v>
      </c>
      <c r="V319" s="31" t="n">
        <v>15</v>
      </c>
      <c r="W319" s="31" t="n">
        <v>15</v>
      </c>
      <c r="X319" s="31" t="n">
        <v>10</v>
      </c>
      <c r="Y319" s="31" t="n">
        <v>10</v>
      </c>
      <c r="Z319" s="31" t="n">
        <v>10</v>
      </c>
    </row>
    <row r="320" ht="15.75" customHeight="1">
      <c r="B320" s="31" t="inlineStr">
        <is>
          <t>打撈者</t>
        </is>
      </c>
      <c r="C320" s="31" t="n">
        <v>10</v>
      </c>
      <c r="D320" s="31" t="n">
        <v>10</v>
      </c>
      <c r="E320" s="31" t="n">
        <v>10</v>
      </c>
      <c r="F320" s="31" t="n">
        <v>10</v>
      </c>
      <c r="G320" s="31" t="n">
        <v>10</v>
      </c>
      <c r="H320" s="31" t="n">
        <v>10</v>
      </c>
      <c r="I320" s="31" t="n">
        <v>10</v>
      </c>
      <c r="J320" s="31" t="n">
        <v>10</v>
      </c>
      <c r="K320" s="31" t="n">
        <v>10</v>
      </c>
      <c r="L320" s="31" t="n">
        <v>10</v>
      </c>
      <c r="M320" s="31" t="n">
        <v>10</v>
      </c>
      <c r="N320" s="31" t="n">
        <v>10</v>
      </c>
      <c r="O320" s="31" t="n">
        <v>10</v>
      </c>
      <c r="P320" s="31" t="n">
        <v>10</v>
      </c>
      <c r="Q320" s="31" t="n">
        <v>10</v>
      </c>
      <c r="R320" s="31" t="n">
        <v>10</v>
      </c>
      <c r="S320" s="31" t="n">
        <v>10</v>
      </c>
      <c r="T320" s="31" t="n">
        <v>10</v>
      </c>
      <c r="U320" s="31" t="n">
        <v>10</v>
      </c>
      <c r="V320" s="31" t="n">
        <v>10</v>
      </c>
      <c r="W320" s="31" t="n">
        <v>10</v>
      </c>
      <c r="X320" s="31" t="n">
        <v>10</v>
      </c>
      <c r="Y320" s="31" t="n">
        <v>15</v>
      </c>
      <c r="Z320" s="31" t="n">
        <v>10</v>
      </c>
    </row>
    <row r="321" ht="15.75" customHeight="1">
      <c r="B321" s="32" t="inlineStr">
        <is>
          <t>大提督/海軍陸戰隊</t>
        </is>
      </c>
      <c r="C321" s="31" t="n">
        <v>15</v>
      </c>
      <c r="D321" s="31" t="n">
        <v>15</v>
      </c>
      <c r="E321" s="31" t="n">
        <v>15</v>
      </c>
      <c r="F321" s="31" t="n">
        <v>15</v>
      </c>
      <c r="G321" s="31" t="n">
        <v>15</v>
      </c>
      <c r="H321" s="31" t="n">
        <v>10</v>
      </c>
      <c r="I321" s="31" t="n">
        <v>10</v>
      </c>
      <c r="J321" s="31" t="n">
        <v>15</v>
      </c>
      <c r="K321" s="31" t="n">
        <v>10</v>
      </c>
      <c r="L321" s="31" t="n">
        <v>10</v>
      </c>
      <c r="M321" s="31" t="n">
        <v>15</v>
      </c>
      <c r="N321" s="31" t="n">
        <v>15</v>
      </c>
      <c r="O321" s="31" t="n">
        <v>10</v>
      </c>
      <c r="P321" s="31" t="n">
        <v>15</v>
      </c>
      <c r="Q321" s="31" t="n">
        <v>15</v>
      </c>
      <c r="R321" s="31" t="n">
        <v>15</v>
      </c>
      <c r="S321" s="31" t="n">
        <v>15</v>
      </c>
      <c r="T321" s="31" t="n">
        <v>15</v>
      </c>
      <c r="U321" s="31" t="n">
        <v>10</v>
      </c>
      <c r="V321" s="31" t="n">
        <v>10</v>
      </c>
      <c r="W321" s="31" t="n">
        <v>10</v>
      </c>
      <c r="X321" s="31" t="n">
        <v>10</v>
      </c>
      <c r="Y321" s="31" t="n">
        <v>10</v>
      </c>
      <c r="Z321" s="31" t="n">
        <v>10</v>
      </c>
    </row>
    <row r="322" ht="15.75" customHeight="1">
      <c r="B322" s="31" t="inlineStr">
        <is>
          <t>大海盜/海軍陸戰隊</t>
        </is>
      </c>
      <c r="C322" s="31" t="n">
        <v>10</v>
      </c>
      <c r="D322" s="31" t="n">
        <v>15</v>
      </c>
      <c r="E322" s="31" t="n">
        <v>10</v>
      </c>
      <c r="F322" s="31" t="n">
        <v>10</v>
      </c>
      <c r="G322" s="31" t="n">
        <v>10</v>
      </c>
      <c r="H322" s="31" t="n">
        <v>10</v>
      </c>
      <c r="I322" s="31" t="n">
        <v>10</v>
      </c>
      <c r="J322" s="31" t="n">
        <v>10</v>
      </c>
      <c r="K322" s="31" t="n">
        <v>15</v>
      </c>
      <c r="L322" s="31" t="n">
        <v>15</v>
      </c>
      <c r="M322" s="31" t="n">
        <v>15</v>
      </c>
      <c r="N322" s="31" t="n">
        <v>15</v>
      </c>
      <c r="O322" s="31" t="n">
        <v>15</v>
      </c>
      <c r="P322" s="31" t="n">
        <v>15</v>
      </c>
      <c r="Q322" s="31" t="n">
        <v>15</v>
      </c>
      <c r="R322" s="31" t="n">
        <v>15</v>
      </c>
      <c r="S322" s="31" t="n">
        <v>15</v>
      </c>
      <c r="T322" s="31" t="n">
        <v>15</v>
      </c>
      <c r="U322" s="31" t="n">
        <v>10</v>
      </c>
      <c r="V322" s="31" t="n">
        <v>10</v>
      </c>
      <c r="W322" s="31" t="n">
        <v>10</v>
      </c>
      <c r="X322" s="31" t="n">
        <v>15</v>
      </c>
      <c r="Y322" s="31" t="n">
        <v>15</v>
      </c>
      <c r="Z322" s="31" t="n">
        <v>10</v>
      </c>
    </row>
    <row r="323" ht="15.75" customHeight="1">
      <c r="B323" s="31" t="inlineStr">
        <is>
          <t>高階指揮/海軍陸戰</t>
        </is>
      </c>
      <c r="C323" s="31" t="n">
        <v>15</v>
      </c>
      <c r="D323" s="31" t="n">
        <v>10</v>
      </c>
      <c r="E323" s="31" t="n">
        <v>10</v>
      </c>
      <c r="F323" s="31" t="n">
        <v>10</v>
      </c>
      <c r="G323" s="31" t="n">
        <v>15</v>
      </c>
      <c r="H323" s="31" t="n">
        <v>15</v>
      </c>
      <c r="I323" s="31" t="n">
        <v>15</v>
      </c>
      <c r="J323" s="31" t="n">
        <v>10</v>
      </c>
      <c r="K323" s="31" t="n">
        <v>10</v>
      </c>
      <c r="L323" s="31" t="n">
        <v>15</v>
      </c>
      <c r="M323" s="31" t="n">
        <v>15</v>
      </c>
      <c r="N323" s="31" t="n">
        <v>15</v>
      </c>
      <c r="O323" s="31" t="n">
        <v>10</v>
      </c>
      <c r="P323" s="31" t="n">
        <v>15</v>
      </c>
      <c r="Q323" s="31" t="n">
        <v>15</v>
      </c>
      <c r="R323" s="31" t="n">
        <v>15</v>
      </c>
      <c r="S323" s="31" t="n">
        <v>15</v>
      </c>
      <c r="T323" s="31" t="n">
        <v>15</v>
      </c>
      <c r="U323" s="31" t="n">
        <v>10</v>
      </c>
      <c r="V323" s="31" t="n">
        <v>10</v>
      </c>
      <c r="W323" s="31" t="n">
        <v>10</v>
      </c>
      <c r="X323" s="31" t="n">
        <v>10</v>
      </c>
      <c r="Y323" s="31" t="n">
        <v>10</v>
      </c>
      <c r="Z323" s="31" t="n">
        <v>10</v>
      </c>
    </row>
    <row r="324" ht="15.75" customHeight="1">
      <c r="B324" s="31" t="inlineStr">
        <is>
          <t>大海盜/藥劑師/遊俠</t>
        </is>
      </c>
      <c r="C324" s="31" t="n">
        <v>10</v>
      </c>
      <c r="D324" s="31" t="n">
        <v>15</v>
      </c>
      <c r="E324" s="31" t="n">
        <v>10</v>
      </c>
      <c r="F324" s="31" t="n">
        <v>10</v>
      </c>
      <c r="G324" s="31" t="n">
        <v>10</v>
      </c>
      <c r="H324" s="31" t="n">
        <v>10</v>
      </c>
      <c r="I324" s="31" t="n">
        <v>10</v>
      </c>
      <c r="J324" s="31" t="n">
        <v>10</v>
      </c>
      <c r="K324" s="31" t="n">
        <v>15</v>
      </c>
      <c r="L324" s="31" t="n">
        <v>15</v>
      </c>
      <c r="M324" s="31" t="n">
        <v>15</v>
      </c>
      <c r="N324" s="31" t="n">
        <v>15</v>
      </c>
      <c r="O324" s="31" t="n">
        <v>15</v>
      </c>
      <c r="P324" s="31" t="n">
        <v>15</v>
      </c>
      <c r="Q324" s="31" t="n">
        <v>15</v>
      </c>
      <c r="R324" s="31" t="n">
        <v>15</v>
      </c>
      <c r="S324" s="31" t="n">
        <v>15</v>
      </c>
      <c r="T324" s="31" t="n">
        <v>15</v>
      </c>
      <c r="U324" s="31" t="n">
        <v>15</v>
      </c>
      <c r="V324" s="31" t="n">
        <v>15</v>
      </c>
      <c r="W324" s="31" t="n">
        <v>15</v>
      </c>
      <c r="X324" s="31" t="n">
        <v>15</v>
      </c>
      <c r="Y324" s="31" t="n">
        <v>15</v>
      </c>
      <c r="Z324" s="31" t="n">
        <v>10</v>
      </c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劉侃璍</dc:creator>
  <dcterms:created xsi:type="dcterms:W3CDTF">2015-06-05T18:19:34Z</dcterms:created>
  <dcterms:modified xsi:type="dcterms:W3CDTF">2026-08-07T12:57:29Z</dcterms:modified>
  <cp:lastModifiedBy>user</cp:lastModifiedBy>
</cp:coreProperties>
</file>